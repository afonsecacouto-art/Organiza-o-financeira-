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luxo Mensal" sheetId="2" state="visible" r:id="rId2"/>
    <sheet xmlns:r="http://schemas.openxmlformats.org/officeDocument/2006/relationships" name="Fluxo Diário" sheetId="3" state="visible" r:id="rId3"/>
    <sheet xmlns:r="http://schemas.openxmlformats.org/officeDocument/2006/relationships" name="Boletos" sheetId="4" state="visible" r:id="rId4"/>
    <sheet xmlns:r="http://schemas.openxmlformats.org/officeDocument/2006/relationships" name="Parcel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PAINEL FINANCEIRO COMPLETO</t>
        </is>
      </c>
    </row>
    <row r="3">
      <c r="A3" t="inlineStr">
        <is>
          <t>Entradas</t>
        </is>
      </c>
      <c r="B3">
        <f>SUM('Fluxo Mensal'!B2:B13)</f>
        <v/>
      </c>
    </row>
    <row r="4">
      <c r="A4" t="inlineStr">
        <is>
          <t>Saídas</t>
        </is>
      </c>
      <c r="B4">
        <f>SUM('Fluxo Mensal'!C2:C13)</f>
        <v/>
      </c>
    </row>
    <row r="5">
      <c r="A5" t="inlineStr">
        <is>
          <t>Saldo</t>
        </is>
      </c>
      <c r="B5">
        <f>B3-B4</f>
        <v/>
      </c>
    </row>
    <row r="7">
      <c r="A7" t="inlineStr">
        <is>
          <t>Boletos Vencidos</t>
        </is>
      </c>
      <c r="B7">
        <f>COUNTIF(Boletos!F2:F300,"Vencido")</f>
        <v/>
      </c>
    </row>
    <row r="8">
      <c r="A8" t="inlineStr">
        <is>
          <t>Vence em Breve</t>
        </is>
      </c>
      <c r="B8">
        <f>COUNTIF(Boletos!F2:F300,"Vence em Breve")</f>
        <v/>
      </c>
    </row>
    <row r="9">
      <c r="A9" t="inlineStr">
        <is>
          <t>Total em Aberto</t>
        </is>
      </c>
      <c r="B9">
        <f>SUMIF(Boletos!F2:F300,"&lt;&gt;Pago",Boletos!E2:E300)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Entradas</t>
        </is>
      </c>
      <c r="C1" t="inlineStr">
        <is>
          <t>Saídas</t>
        </is>
      </c>
      <c r="D1" t="inlineStr">
        <is>
          <t>Saldo</t>
        </is>
      </c>
    </row>
    <row r="2">
      <c r="A2" t="inlineStr">
        <is>
          <t>Jan</t>
        </is>
      </c>
      <c r="B2" s="2" t="n"/>
      <c r="C2" s="2" t="n"/>
      <c r="D2">
        <f>B2-C2</f>
        <v/>
      </c>
    </row>
    <row r="3">
      <c r="A3" t="inlineStr">
        <is>
          <t>Fev</t>
        </is>
      </c>
      <c r="B3" s="2" t="n"/>
      <c r="C3" s="2" t="n"/>
      <c r="D3">
        <f>B3-C3</f>
        <v/>
      </c>
    </row>
    <row r="4">
      <c r="A4" t="inlineStr">
        <is>
          <t>Mar</t>
        </is>
      </c>
      <c r="B4" s="2" t="n"/>
      <c r="C4" s="2" t="n"/>
      <c r="D4">
        <f>B4-C4</f>
        <v/>
      </c>
    </row>
    <row r="5">
      <c r="A5" t="inlineStr">
        <is>
          <t>Abr</t>
        </is>
      </c>
      <c r="B5" s="2" t="n"/>
      <c r="C5" s="2" t="n"/>
      <c r="D5">
        <f>B5-C5</f>
        <v/>
      </c>
    </row>
    <row r="6">
      <c r="A6" t="inlineStr">
        <is>
          <t>Mai</t>
        </is>
      </c>
      <c r="B6" s="2" t="n"/>
      <c r="C6" s="2" t="n"/>
      <c r="D6">
        <f>B6-C6</f>
        <v/>
      </c>
    </row>
    <row r="7">
      <c r="A7" t="inlineStr">
        <is>
          <t>Jun</t>
        </is>
      </c>
      <c r="B7" s="2" t="n"/>
      <c r="C7" s="2" t="n"/>
      <c r="D7">
        <f>B7-C7</f>
        <v/>
      </c>
    </row>
    <row r="8">
      <c r="A8" t="inlineStr">
        <is>
          <t>Jul</t>
        </is>
      </c>
      <c r="B8" s="2" t="n"/>
      <c r="C8" s="2" t="n"/>
      <c r="D8">
        <f>B8-C8</f>
        <v/>
      </c>
    </row>
    <row r="9">
      <c r="A9" t="inlineStr">
        <is>
          <t>Ago</t>
        </is>
      </c>
      <c r="B9" s="2" t="n"/>
      <c r="C9" s="2" t="n"/>
      <c r="D9">
        <f>B9-C9</f>
        <v/>
      </c>
    </row>
    <row r="10">
      <c r="A10" t="inlineStr">
        <is>
          <t>Set</t>
        </is>
      </c>
      <c r="B10" s="2" t="n"/>
      <c r="C10" s="2" t="n"/>
      <c r="D10">
        <f>B10-C10</f>
        <v/>
      </c>
    </row>
    <row r="11">
      <c r="A11" t="inlineStr">
        <is>
          <t>Out</t>
        </is>
      </c>
      <c r="B11" s="2" t="n"/>
      <c r="C11" s="2" t="n"/>
      <c r="D11">
        <f>B11-C11</f>
        <v/>
      </c>
    </row>
    <row r="12">
      <c r="A12" t="inlineStr">
        <is>
          <t>Nov</t>
        </is>
      </c>
      <c r="B12" s="2" t="n"/>
      <c r="C12" s="2" t="n"/>
      <c r="D12">
        <f>B12-C12</f>
        <v/>
      </c>
    </row>
    <row r="13">
      <c r="A13" t="inlineStr">
        <is>
          <t>Dez</t>
        </is>
      </c>
      <c r="B13" s="2" t="n"/>
      <c r="C13" s="2" t="n"/>
      <c r="D13">
        <f>B13-C13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Categoria</t>
        </is>
      </c>
      <c r="D1" t="inlineStr">
        <is>
          <t>Valor</t>
        </is>
      </c>
      <c r="E1" t="inlineStr">
        <is>
          <t>Saldo Acumulado</t>
        </is>
      </c>
    </row>
    <row r="2">
      <c r="A2" s="2" t="n"/>
      <c r="B2" s="2" t="n"/>
      <c r="C2" s="2" t="n"/>
      <c r="D2" s="2" t="n"/>
      <c r="E2">
        <f>IF(B2="Entrada",D2,-D2)</f>
        <v/>
      </c>
    </row>
    <row r="3">
      <c r="A3" s="2" t="n"/>
      <c r="B3" s="2" t="n"/>
      <c r="C3" s="2" t="n"/>
      <c r="D3" s="2" t="n"/>
      <c r="E3">
        <f>E2+IF(B3="Entrada",D3,-D3)</f>
        <v/>
      </c>
    </row>
    <row r="4">
      <c r="A4" s="2" t="n"/>
      <c r="B4" s="2" t="n"/>
      <c r="C4" s="2" t="n"/>
      <c r="D4" s="2" t="n"/>
      <c r="E4">
        <f>E3+IF(B4="Entrada",D4,-D4)</f>
        <v/>
      </c>
    </row>
    <row r="5">
      <c r="A5" s="2" t="n"/>
      <c r="B5" s="2" t="n"/>
      <c r="C5" s="2" t="n"/>
      <c r="D5" s="2" t="n"/>
      <c r="E5">
        <f>E4+IF(B5="Entrada",D5,-D5)</f>
        <v/>
      </c>
    </row>
    <row r="6">
      <c r="A6" s="2" t="n"/>
      <c r="B6" s="2" t="n"/>
      <c r="C6" s="2" t="n"/>
      <c r="D6" s="2" t="n"/>
      <c r="E6">
        <f>E5+IF(B6="Entrada",D6,-D6)</f>
        <v/>
      </c>
    </row>
    <row r="7">
      <c r="A7" s="2" t="n"/>
      <c r="B7" s="2" t="n"/>
      <c r="C7" s="2" t="n"/>
      <c r="D7" s="2" t="n"/>
      <c r="E7">
        <f>E6+IF(B7="Entrada",D7,-D7)</f>
        <v/>
      </c>
    </row>
    <row r="8">
      <c r="A8" s="2" t="n"/>
      <c r="B8" s="2" t="n"/>
      <c r="C8" s="2" t="n"/>
      <c r="D8" s="2" t="n"/>
      <c r="E8">
        <f>E7+IF(B8="Entrada",D8,-D8)</f>
        <v/>
      </c>
    </row>
    <row r="9">
      <c r="A9" s="2" t="n"/>
      <c r="B9" s="2" t="n"/>
      <c r="C9" s="2" t="n"/>
      <c r="D9" s="2" t="n"/>
      <c r="E9">
        <f>E8+IF(B9="Entrada",D9,-D9)</f>
        <v/>
      </c>
    </row>
    <row r="10">
      <c r="A10" s="2" t="n"/>
      <c r="B10" s="2" t="n"/>
      <c r="C10" s="2" t="n"/>
      <c r="D10" s="2" t="n"/>
      <c r="E10">
        <f>E9+IF(B10="Entrada",D10,-D10)</f>
        <v/>
      </c>
    </row>
    <row r="11">
      <c r="A11" s="2" t="n"/>
      <c r="B11" s="2" t="n"/>
      <c r="C11" s="2" t="n"/>
      <c r="D11" s="2" t="n"/>
      <c r="E11">
        <f>E10+IF(B11="Entrada",D11,-D11)</f>
        <v/>
      </c>
    </row>
    <row r="12">
      <c r="A12" s="2" t="n"/>
      <c r="B12" s="2" t="n"/>
      <c r="C12" s="2" t="n"/>
      <c r="D12" s="2" t="n"/>
      <c r="E12">
        <f>E11+IF(B12="Entrada",D12,-D12)</f>
        <v/>
      </c>
    </row>
    <row r="13">
      <c r="A13" s="2" t="n"/>
      <c r="B13" s="2" t="n"/>
      <c r="C13" s="2" t="n"/>
      <c r="D13" s="2" t="n"/>
      <c r="E13">
        <f>E12+IF(B13="Entrada",D13,-D13)</f>
        <v/>
      </c>
    </row>
    <row r="14">
      <c r="A14" s="2" t="n"/>
      <c r="B14" s="2" t="n"/>
      <c r="C14" s="2" t="n"/>
      <c r="D14" s="2" t="n"/>
      <c r="E14">
        <f>E13+IF(B14="Entrada",D14,-D14)</f>
        <v/>
      </c>
    </row>
    <row r="15">
      <c r="A15" s="2" t="n"/>
      <c r="B15" s="2" t="n"/>
      <c r="C15" s="2" t="n"/>
      <c r="D15" s="2" t="n"/>
      <c r="E15">
        <f>E14+IF(B15="Entrada",D15,-D15)</f>
        <v/>
      </c>
    </row>
    <row r="16">
      <c r="A16" s="2" t="n"/>
      <c r="B16" s="2" t="n"/>
      <c r="C16" s="2" t="n"/>
      <c r="D16" s="2" t="n"/>
      <c r="E16">
        <f>E15+IF(B16="Entrada",D16,-D16)</f>
        <v/>
      </c>
    </row>
    <row r="17">
      <c r="A17" s="2" t="n"/>
      <c r="B17" s="2" t="n"/>
      <c r="C17" s="2" t="n"/>
      <c r="D17" s="2" t="n"/>
      <c r="E17">
        <f>E16+IF(B17="Entrada",D17,-D17)</f>
        <v/>
      </c>
    </row>
    <row r="18">
      <c r="A18" s="2" t="n"/>
      <c r="B18" s="2" t="n"/>
      <c r="C18" s="2" t="n"/>
      <c r="D18" s="2" t="n"/>
      <c r="E18">
        <f>E17+IF(B18="Entrada",D18,-D18)</f>
        <v/>
      </c>
    </row>
    <row r="19">
      <c r="A19" s="2" t="n"/>
      <c r="B19" s="2" t="n"/>
      <c r="C19" s="2" t="n"/>
      <c r="D19" s="2" t="n"/>
      <c r="E19">
        <f>E18+IF(B19="Entrada",D19,-D19)</f>
        <v/>
      </c>
    </row>
    <row r="20">
      <c r="A20" s="2" t="n"/>
      <c r="B20" s="2" t="n"/>
      <c r="C20" s="2" t="n"/>
      <c r="D20" s="2" t="n"/>
      <c r="E20">
        <f>E19+IF(B20="Entrada",D20,-D20)</f>
        <v/>
      </c>
    </row>
    <row r="21">
      <c r="A21" s="2" t="n"/>
      <c r="B21" s="2" t="n"/>
      <c r="C21" s="2" t="n"/>
      <c r="D21" s="2" t="n"/>
      <c r="E21">
        <f>E20+IF(B21="Entrada",D21,-D21)</f>
        <v/>
      </c>
    </row>
    <row r="22">
      <c r="A22" s="2" t="n"/>
      <c r="B22" s="2" t="n"/>
      <c r="C22" s="2" t="n"/>
      <c r="D22" s="2" t="n"/>
      <c r="E22">
        <f>E21+IF(B22="Entrada",D22,-D22)</f>
        <v/>
      </c>
    </row>
    <row r="23">
      <c r="A23" s="2" t="n"/>
      <c r="B23" s="2" t="n"/>
      <c r="C23" s="2" t="n"/>
      <c r="D23" s="2" t="n"/>
      <c r="E23">
        <f>E22+IF(B23="Entrada",D23,-D23)</f>
        <v/>
      </c>
    </row>
    <row r="24">
      <c r="A24" s="2" t="n"/>
      <c r="B24" s="2" t="n"/>
      <c r="C24" s="2" t="n"/>
      <c r="D24" s="2" t="n"/>
      <c r="E24">
        <f>E23+IF(B24="Entrada",D24,-D24)</f>
        <v/>
      </c>
    </row>
    <row r="25">
      <c r="A25" s="2" t="n"/>
      <c r="B25" s="2" t="n"/>
      <c r="C25" s="2" t="n"/>
      <c r="D25" s="2" t="n"/>
      <c r="E25">
        <f>E24+IF(B25="Entrada",D25,-D25)</f>
        <v/>
      </c>
    </row>
    <row r="26">
      <c r="A26" s="2" t="n"/>
      <c r="B26" s="2" t="n"/>
      <c r="C26" s="2" t="n"/>
      <c r="D26" s="2" t="n"/>
      <c r="E26">
        <f>E25+IF(B26="Entrada",D26,-D26)</f>
        <v/>
      </c>
    </row>
    <row r="27">
      <c r="A27" s="2" t="n"/>
      <c r="B27" s="2" t="n"/>
      <c r="C27" s="2" t="n"/>
      <c r="D27" s="2" t="n"/>
      <c r="E27">
        <f>E26+IF(B27="Entrada",D27,-D27)</f>
        <v/>
      </c>
    </row>
    <row r="28">
      <c r="A28" s="2" t="n"/>
      <c r="B28" s="2" t="n"/>
      <c r="C28" s="2" t="n"/>
      <c r="D28" s="2" t="n"/>
      <c r="E28">
        <f>E27+IF(B28="Entrada",D28,-D28)</f>
        <v/>
      </c>
    </row>
    <row r="29">
      <c r="A29" s="2" t="n"/>
      <c r="B29" s="2" t="n"/>
      <c r="C29" s="2" t="n"/>
      <c r="D29" s="2" t="n"/>
      <c r="E29">
        <f>E28+IF(B29="Entrada",D29,-D29)</f>
        <v/>
      </c>
    </row>
    <row r="30">
      <c r="A30" s="2" t="n"/>
      <c r="B30" s="2" t="n"/>
      <c r="C30" s="2" t="n"/>
      <c r="D30" s="2" t="n"/>
      <c r="E30">
        <f>E29+IF(B30="Entrada",D30,-D30)</f>
        <v/>
      </c>
    </row>
    <row r="31">
      <c r="A31" s="2" t="n"/>
      <c r="B31" s="2" t="n"/>
      <c r="C31" s="2" t="n"/>
      <c r="D31" s="2" t="n"/>
      <c r="E31">
        <f>E30+IF(B31="Entrada",D31,-D31)</f>
        <v/>
      </c>
    </row>
    <row r="32">
      <c r="A32" s="2" t="n"/>
      <c r="B32" s="2" t="n"/>
      <c r="C32" s="2" t="n"/>
      <c r="D32" s="2" t="n"/>
      <c r="E32">
        <f>E31+IF(B32="Entrada",D32,-D32)</f>
        <v/>
      </c>
    </row>
    <row r="33">
      <c r="A33" s="2" t="n"/>
      <c r="B33" s="2" t="n"/>
      <c r="C33" s="2" t="n"/>
      <c r="D33" s="2" t="n"/>
      <c r="E33">
        <f>E32+IF(B33="Entrada",D33,-D33)</f>
        <v/>
      </c>
    </row>
    <row r="34">
      <c r="A34" s="2" t="n"/>
      <c r="B34" s="2" t="n"/>
      <c r="C34" s="2" t="n"/>
      <c r="D34" s="2" t="n"/>
      <c r="E34">
        <f>E33+IF(B34="Entrada",D34,-D34)</f>
        <v/>
      </c>
    </row>
    <row r="35">
      <c r="A35" s="2" t="n"/>
      <c r="B35" s="2" t="n"/>
      <c r="C35" s="2" t="n"/>
      <c r="D35" s="2" t="n"/>
      <c r="E35">
        <f>E34+IF(B35="Entrada",D35,-D35)</f>
        <v/>
      </c>
    </row>
    <row r="36">
      <c r="A36" s="2" t="n"/>
      <c r="B36" s="2" t="n"/>
      <c r="C36" s="2" t="n"/>
      <c r="D36" s="2" t="n"/>
      <c r="E36">
        <f>E35+IF(B36="Entrada",D36,-D36)</f>
        <v/>
      </c>
    </row>
    <row r="37">
      <c r="A37" s="2" t="n"/>
      <c r="B37" s="2" t="n"/>
      <c r="C37" s="2" t="n"/>
      <c r="D37" s="2" t="n"/>
      <c r="E37">
        <f>E36+IF(B37="Entrada",D37,-D37)</f>
        <v/>
      </c>
    </row>
    <row r="38">
      <c r="A38" s="2" t="n"/>
      <c r="B38" s="2" t="n"/>
      <c r="C38" s="2" t="n"/>
      <c r="D38" s="2" t="n"/>
      <c r="E38">
        <f>E37+IF(B38="Entrada",D38,-D38)</f>
        <v/>
      </c>
    </row>
    <row r="39">
      <c r="A39" s="2" t="n"/>
      <c r="B39" s="2" t="n"/>
      <c r="C39" s="2" t="n"/>
      <c r="D39" s="2" t="n"/>
      <c r="E39">
        <f>E38+IF(B39="Entrada",D39,-D39)</f>
        <v/>
      </c>
    </row>
    <row r="40">
      <c r="A40" s="2" t="n"/>
      <c r="B40" s="2" t="n"/>
      <c r="C40" s="2" t="n"/>
      <c r="D40" s="2" t="n"/>
      <c r="E40">
        <f>E39+IF(B40="Entrada",D40,-D40)</f>
        <v/>
      </c>
    </row>
    <row r="41">
      <c r="A41" s="2" t="n"/>
      <c r="B41" s="2" t="n"/>
      <c r="C41" s="2" t="n"/>
      <c r="D41" s="2" t="n"/>
      <c r="E41">
        <f>E40+IF(B41="Entrada",D41,-D41)</f>
        <v/>
      </c>
    </row>
    <row r="42">
      <c r="A42" s="2" t="n"/>
      <c r="B42" s="2" t="n"/>
      <c r="C42" s="2" t="n"/>
      <c r="D42" s="2" t="n"/>
      <c r="E42">
        <f>E41+IF(B42="Entrada",D42,-D42)</f>
        <v/>
      </c>
    </row>
    <row r="43">
      <c r="A43" s="2" t="n"/>
      <c r="B43" s="2" t="n"/>
      <c r="C43" s="2" t="n"/>
      <c r="D43" s="2" t="n"/>
      <c r="E43">
        <f>E42+IF(B43="Entrada",D43,-D43)</f>
        <v/>
      </c>
    </row>
    <row r="44">
      <c r="A44" s="2" t="n"/>
      <c r="B44" s="2" t="n"/>
      <c r="C44" s="2" t="n"/>
      <c r="D44" s="2" t="n"/>
      <c r="E44">
        <f>E43+IF(B44="Entrada",D44,-D44)</f>
        <v/>
      </c>
    </row>
    <row r="45">
      <c r="A45" s="2" t="n"/>
      <c r="B45" s="2" t="n"/>
      <c r="C45" s="2" t="n"/>
      <c r="D45" s="2" t="n"/>
      <c r="E45">
        <f>E44+IF(B45="Entrada",D45,-D45)</f>
        <v/>
      </c>
    </row>
    <row r="46">
      <c r="A46" s="2" t="n"/>
      <c r="B46" s="2" t="n"/>
      <c r="C46" s="2" t="n"/>
      <c r="D46" s="2" t="n"/>
      <c r="E46">
        <f>E45+IF(B46="Entrada",D46,-D46)</f>
        <v/>
      </c>
    </row>
    <row r="47">
      <c r="A47" s="2" t="n"/>
      <c r="B47" s="2" t="n"/>
      <c r="C47" s="2" t="n"/>
      <c r="D47" s="2" t="n"/>
      <c r="E47">
        <f>E46+IF(B47="Entrada",D47,-D47)</f>
        <v/>
      </c>
    </row>
    <row r="48">
      <c r="A48" s="2" t="n"/>
      <c r="B48" s="2" t="n"/>
      <c r="C48" s="2" t="n"/>
      <c r="D48" s="2" t="n"/>
      <c r="E48">
        <f>E47+IF(B48="Entrada",D48,-D48)</f>
        <v/>
      </c>
    </row>
    <row r="49">
      <c r="A49" s="2" t="n"/>
      <c r="B49" s="2" t="n"/>
      <c r="C49" s="2" t="n"/>
      <c r="D49" s="2" t="n"/>
      <c r="E49">
        <f>E48+IF(B49="Entrada",D49,-D49)</f>
        <v/>
      </c>
    </row>
    <row r="50">
      <c r="A50" s="2" t="n"/>
      <c r="B50" s="2" t="n"/>
      <c r="C50" s="2" t="n"/>
      <c r="D50" s="2" t="n"/>
      <c r="E50">
        <f>E49+IF(B50="Entrada",D50,-D50)</f>
        <v/>
      </c>
    </row>
    <row r="51">
      <c r="A51" s="2" t="n"/>
      <c r="B51" s="2" t="n"/>
      <c r="C51" s="2" t="n"/>
      <c r="D51" s="2" t="n"/>
      <c r="E51">
        <f>E50+IF(B51="Entrada",D51,-D51)</f>
        <v/>
      </c>
    </row>
    <row r="52">
      <c r="A52" s="2" t="n"/>
      <c r="B52" s="2" t="n"/>
      <c r="C52" s="2" t="n"/>
      <c r="D52" s="2" t="n"/>
      <c r="E52">
        <f>E51+IF(B52="Entrada",D52,-D52)</f>
        <v/>
      </c>
    </row>
    <row r="53">
      <c r="A53" s="2" t="n"/>
      <c r="B53" s="2" t="n"/>
      <c r="C53" s="2" t="n"/>
      <c r="D53" s="2" t="n"/>
      <c r="E53">
        <f>E52+IF(B53="Entrada",D53,-D53)</f>
        <v/>
      </c>
    </row>
    <row r="54">
      <c r="A54" s="2" t="n"/>
      <c r="B54" s="2" t="n"/>
      <c r="C54" s="2" t="n"/>
      <c r="D54" s="2" t="n"/>
      <c r="E54">
        <f>E53+IF(B54="Entrada",D54,-D54)</f>
        <v/>
      </c>
    </row>
    <row r="55">
      <c r="A55" s="2" t="n"/>
      <c r="B55" s="2" t="n"/>
      <c r="C55" s="2" t="n"/>
      <c r="D55" s="2" t="n"/>
      <c r="E55">
        <f>E54+IF(B55="Entrada",D55,-D55)</f>
        <v/>
      </c>
    </row>
    <row r="56">
      <c r="A56" s="2" t="n"/>
      <c r="B56" s="2" t="n"/>
      <c r="C56" s="2" t="n"/>
      <c r="D56" s="2" t="n"/>
      <c r="E56">
        <f>E55+IF(B56="Entrada",D56,-D56)</f>
        <v/>
      </c>
    </row>
    <row r="57">
      <c r="A57" s="2" t="n"/>
      <c r="B57" s="2" t="n"/>
      <c r="C57" s="2" t="n"/>
      <c r="D57" s="2" t="n"/>
      <c r="E57">
        <f>E56+IF(B57="Entrada",D57,-D57)</f>
        <v/>
      </c>
    </row>
    <row r="58">
      <c r="A58" s="2" t="n"/>
      <c r="B58" s="2" t="n"/>
      <c r="C58" s="2" t="n"/>
      <c r="D58" s="2" t="n"/>
      <c r="E58">
        <f>E57+IF(B58="Entrada",D58,-D58)</f>
        <v/>
      </c>
    </row>
    <row r="59">
      <c r="A59" s="2" t="n"/>
      <c r="B59" s="2" t="n"/>
      <c r="C59" s="2" t="n"/>
      <c r="D59" s="2" t="n"/>
      <c r="E59">
        <f>E58+IF(B59="Entrada",D59,-D59)</f>
        <v/>
      </c>
    </row>
    <row r="60">
      <c r="A60" s="2" t="n"/>
      <c r="B60" s="2" t="n"/>
      <c r="C60" s="2" t="n"/>
      <c r="D60" s="2" t="n"/>
      <c r="E60">
        <f>E59+IF(B60="Entrada",D60,-D60)</f>
        <v/>
      </c>
    </row>
    <row r="61">
      <c r="A61" s="2" t="n"/>
      <c r="B61" s="2" t="n"/>
      <c r="C61" s="2" t="n"/>
      <c r="D61" s="2" t="n"/>
      <c r="E61">
        <f>E60+IF(B61="Entrada",D61,-D61)</f>
        <v/>
      </c>
    </row>
    <row r="62">
      <c r="A62" s="2" t="n"/>
      <c r="B62" s="2" t="n"/>
      <c r="C62" s="2" t="n"/>
      <c r="D62" s="2" t="n"/>
      <c r="E62">
        <f>E61+IF(B62="Entrada",D62,-D62)</f>
        <v/>
      </c>
    </row>
    <row r="63">
      <c r="A63" s="2" t="n"/>
      <c r="B63" s="2" t="n"/>
      <c r="C63" s="2" t="n"/>
      <c r="D63" s="2" t="n"/>
      <c r="E63">
        <f>E62+IF(B63="Entrada",D63,-D63)</f>
        <v/>
      </c>
    </row>
    <row r="64">
      <c r="A64" s="2" t="n"/>
      <c r="B64" s="2" t="n"/>
      <c r="C64" s="2" t="n"/>
      <c r="D64" s="2" t="n"/>
      <c r="E64">
        <f>E63+IF(B64="Entrada",D64,-D64)</f>
        <v/>
      </c>
    </row>
    <row r="65">
      <c r="A65" s="2" t="n"/>
      <c r="B65" s="2" t="n"/>
      <c r="C65" s="2" t="n"/>
      <c r="D65" s="2" t="n"/>
      <c r="E65">
        <f>E64+IF(B65="Entrada",D65,-D65)</f>
        <v/>
      </c>
    </row>
    <row r="66">
      <c r="A66" s="2" t="n"/>
      <c r="B66" s="2" t="n"/>
      <c r="C66" s="2" t="n"/>
      <c r="D66" s="2" t="n"/>
      <c r="E66">
        <f>E65+IF(B66="Entrada",D66,-D66)</f>
        <v/>
      </c>
    </row>
    <row r="67">
      <c r="A67" s="2" t="n"/>
      <c r="B67" s="2" t="n"/>
      <c r="C67" s="2" t="n"/>
      <c r="D67" s="2" t="n"/>
      <c r="E67">
        <f>E66+IF(B67="Entrada",D67,-D67)</f>
        <v/>
      </c>
    </row>
    <row r="68">
      <c r="A68" s="2" t="n"/>
      <c r="B68" s="2" t="n"/>
      <c r="C68" s="2" t="n"/>
      <c r="D68" s="2" t="n"/>
      <c r="E68">
        <f>E67+IF(B68="Entrada",D68,-D68)</f>
        <v/>
      </c>
    </row>
    <row r="69">
      <c r="A69" s="2" t="n"/>
      <c r="B69" s="2" t="n"/>
      <c r="C69" s="2" t="n"/>
      <c r="D69" s="2" t="n"/>
      <c r="E69">
        <f>E68+IF(B69="Entrada",D69,-D69)</f>
        <v/>
      </c>
    </row>
    <row r="70">
      <c r="A70" s="2" t="n"/>
      <c r="B70" s="2" t="n"/>
      <c r="C70" s="2" t="n"/>
      <c r="D70" s="2" t="n"/>
      <c r="E70">
        <f>E69+IF(B70="Entrada",D70,-D70)</f>
        <v/>
      </c>
    </row>
    <row r="71">
      <c r="A71" s="2" t="n"/>
      <c r="B71" s="2" t="n"/>
      <c r="C71" s="2" t="n"/>
      <c r="D71" s="2" t="n"/>
      <c r="E71">
        <f>E70+IF(B71="Entrada",D71,-D71)</f>
        <v/>
      </c>
    </row>
    <row r="72">
      <c r="A72" s="2" t="n"/>
      <c r="B72" s="2" t="n"/>
      <c r="C72" s="2" t="n"/>
      <c r="D72" s="2" t="n"/>
      <c r="E72">
        <f>E71+IF(B72="Entrada",D72,-D72)</f>
        <v/>
      </c>
    </row>
    <row r="73">
      <c r="A73" s="2" t="n"/>
      <c r="B73" s="2" t="n"/>
      <c r="C73" s="2" t="n"/>
      <c r="D73" s="2" t="n"/>
      <c r="E73">
        <f>E72+IF(B73="Entrada",D73,-D73)</f>
        <v/>
      </c>
    </row>
    <row r="74">
      <c r="A74" s="2" t="n"/>
      <c r="B74" s="2" t="n"/>
      <c r="C74" s="2" t="n"/>
      <c r="D74" s="2" t="n"/>
      <c r="E74">
        <f>E73+IF(B74="Entrada",D74,-D74)</f>
        <v/>
      </c>
    </row>
    <row r="75">
      <c r="A75" s="2" t="n"/>
      <c r="B75" s="2" t="n"/>
      <c r="C75" s="2" t="n"/>
      <c r="D75" s="2" t="n"/>
      <c r="E75">
        <f>E74+IF(B75="Entrada",D75,-D75)</f>
        <v/>
      </c>
    </row>
    <row r="76">
      <c r="A76" s="2" t="n"/>
      <c r="B76" s="2" t="n"/>
      <c r="C76" s="2" t="n"/>
      <c r="D76" s="2" t="n"/>
      <c r="E76">
        <f>E75+IF(B76="Entrada",D76,-D76)</f>
        <v/>
      </c>
    </row>
    <row r="77">
      <c r="A77" s="2" t="n"/>
      <c r="B77" s="2" t="n"/>
      <c r="C77" s="2" t="n"/>
      <c r="D77" s="2" t="n"/>
      <c r="E77">
        <f>E76+IF(B77="Entrada",D77,-D77)</f>
        <v/>
      </c>
    </row>
    <row r="78">
      <c r="A78" s="2" t="n"/>
      <c r="B78" s="2" t="n"/>
      <c r="C78" s="2" t="n"/>
      <c r="D78" s="2" t="n"/>
      <c r="E78">
        <f>E77+IF(B78="Entrada",D78,-D78)</f>
        <v/>
      </c>
    </row>
    <row r="79">
      <c r="A79" s="2" t="n"/>
      <c r="B79" s="2" t="n"/>
      <c r="C79" s="2" t="n"/>
      <c r="D79" s="2" t="n"/>
      <c r="E79">
        <f>E78+IF(B79="Entrada",D79,-D79)</f>
        <v/>
      </c>
    </row>
    <row r="80">
      <c r="A80" s="2" t="n"/>
      <c r="B80" s="2" t="n"/>
      <c r="C80" s="2" t="n"/>
      <c r="D80" s="2" t="n"/>
      <c r="E80">
        <f>E79+IF(B80="Entrada",D80,-D80)</f>
        <v/>
      </c>
    </row>
    <row r="81">
      <c r="A81" s="2" t="n"/>
      <c r="B81" s="2" t="n"/>
      <c r="C81" s="2" t="n"/>
      <c r="D81" s="2" t="n"/>
      <c r="E81">
        <f>E80+IF(B81="Entrada",D81,-D81)</f>
        <v/>
      </c>
    </row>
    <row r="82">
      <c r="A82" s="2" t="n"/>
      <c r="B82" s="2" t="n"/>
      <c r="C82" s="2" t="n"/>
      <c r="D82" s="2" t="n"/>
      <c r="E82">
        <f>E81+IF(B82="Entrada",D82,-D82)</f>
        <v/>
      </c>
    </row>
    <row r="83">
      <c r="A83" s="2" t="n"/>
      <c r="B83" s="2" t="n"/>
      <c r="C83" s="2" t="n"/>
      <c r="D83" s="2" t="n"/>
      <c r="E83">
        <f>E82+IF(B83="Entrada",D83,-D83)</f>
        <v/>
      </c>
    </row>
    <row r="84">
      <c r="A84" s="2" t="n"/>
      <c r="B84" s="2" t="n"/>
      <c r="C84" s="2" t="n"/>
      <c r="D84" s="2" t="n"/>
      <c r="E84">
        <f>E83+IF(B84="Entrada",D84,-D84)</f>
        <v/>
      </c>
    </row>
    <row r="85">
      <c r="A85" s="2" t="n"/>
      <c r="B85" s="2" t="n"/>
      <c r="C85" s="2" t="n"/>
      <c r="D85" s="2" t="n"/>
      <c r="E85">
        <f>E84+IF(B85="Entrada",D85,-D85)</f>
        <v/>
      </c>
    </row>
    <row r="86">
      <c r="A86" s="2" t="n"/>
      <c r="B86" s="2" t="n"/>
      <c r="C86" s="2" t="n"/>
      <c r="D86" s="2" t="n"/>
      <c r="E86">
        <f>E85+IF(B86="Entrada",D86,-D86)</f>
        <v/>
      </c>
    </row>
    <row r="87">
      <c r="A87" s="2" t="n"/>
      <c r="B87" s="2" t="n"/>
      <c r="C87" s="2" t="n"/>
      <c r="D87" s="2" t="n"/>
      <c r="E87">
        <f>E86+IF(B87="Entrada",D87,-D87)</f>
        <v/>
      </c>
    </row>
    <row r="88">
      <c r="A88" s="2" t="n"/>
      <c r="B88" s="2" t="n"/>
      <c r="C88" s="2" t="n"/>
      <c r="D88" s="2" t="n"/>
      <c r="E88">
        <f>E87+IF(B88="Entrada",D88,-D88)</f>
        <v/>
      </c>
    </row>
    <row r="89">
      <c r="A89" s="2" t="n"/>
      <c r="B89" s="2" t="n"/>
      <c r="C89" s="2" t="n"/>
      <c r="D89" s="2" t="n"/>
      <c r="E89">
        <f>E88+IF(B89="Entrada",D89,-D89)</f>
        <v/>
      </c>
    </row>
    <row r="90">
      <c r="A90" s="2" t="n"/>
      <c r="B90" s="2" t="n"/>
      <c r="C90" s="2" t="n"/>
      <c r="D90" s="2" t="n"/>
      <c r="E90">
        <f>E89+IF(B90="Entrada",D90,-D90)</f>
        <v/>
      </c>
    </row>
    <row r="91">
      <c r="A91" s="2" t="n"/>
      <c r="B91" s="2" t="n"/>
      <c r="C91" s="2" t="n"/>
      <c r="D91" s="2" t="n"/>
      <c r="E91">
        <f>E90+IF(B91="Entrada",D91,-D91)</f>
        <v/>
      </c>
    </row>
    <row r="92">
      <c r="A92" s="2" t="n"/>
      <c r="B92" s="2" t="n"/>
      <c r="C92" s="2" t="n"/>
      <c r="D92" s="2" t="n"/>
      <c r="E92">
        <f>E91+IF(B92="Entrada",D92,-D92)</f>
        <v/>
      </c>
    </row>
    <row r="93">
      <c r="A93" s="2" t="n"/>
      <c r="B93" s="2" t="n"/>
      <c r="C93" s="2" t="n"/>
      <c r="D93" s="2" t="n"/>
      <c r="E93">
        <f>E92+IF(B93="Entrada",D93,-D93)</f>
        <v/>
      </c>
    </row>
    <row r="94">
      <c r="A94" s="2" t="n"/>
      <c r="B94" s="2" t="n"/>
      <c r="C94" s="2" t="n"/>
      <c r="D94" s="2" t="n"/>
      <c r="E94">
        <f>E93+IF(B94="Entrada",D94,-D94)</f>
        <v/>
      </c>
    </row>
    <row r="95">
      <c r="A95" s="2" t="n"/>
      <c r="B95" s="2" t="n"/>
      <c r="C95" s="2" t="n"/>
      <c r="D95" s="2" t="n"/>
      <c r="E95">
        <f>E94+IF(B95="Entrada",D95,-D95)</f>
        <v/>
      </c>
    </row>
    <row r="96">
      <c r="A96" s="2" t="n"/>
      <c r="B96" s="2" t="n"/>
      <c r="C96" s="2" t="n"/>
      <c r="D96" s="2" t="n"/>
      <c r="E96">
        <f>E95+IF(B96="Entrada",D96,-D96)</f>
        <v/>
      </c>
    </row>
    <row r="97">
      <c r="A97" s="2" t="n"/>
      <c r="B97" s="2" t="n"/>
      <c r="C97" s="2" t="n"/>
      <c r="D97" s="2" t="n"/>
      <c r="E97">
        <f>E96+IF(B97="Entrada",D97,-D97)</f>
        <v/>
      </c>
    </row>
    <row r="98">
      <c r="A98" s="2" t="n"/>
      <c r="B98" s="2" t="n"/>
      <c r="C98" s="2" t="n"/>
      <c r="D98" s="2" t="n"/>
      <c r="E98">
        <f>E97+IF(B98="Entrada",D98,-D98)</f>
        <v/>
      </c>
    </row>
    <row r="99">
      <c r="A99" s="2" t="n"/>
      <c r="B99" s="2" t="n"/>
      <c r="C99" s="2" t="n"/>
      <c r="D99" s="2" t="n"/>
      <c r="E99">
        <f>E98+IF(B99="Entrada",D99,-D99)</f>
        <v/>
      </c>
    </row>
    <row r="100">
      <c r="A100" s="2" t="n"/>
      <c r="B100" s="2" t="n"/>
      <c r="C100" s="2" t="n"/>
      <c r="D100" s="2" t="n"/>
      <c r="E100">
        <f>E99+IF(B100="Entrada",D100,-D100)</f>
        <v/>
      </c>
    </row>
    <row r="101">
      <c r="A101" s="2" t="n"/>
      <c r="B101" s="2" t="n"/>
      <c r="C101" s="2" t="n"/>
      <c r="D101" s="2" t="n"/>
      <c r="E101">
        <f>E100+IF(B101="Entrada",D101,-D101)</f>
        <v/>
      </c>
    </row>
    <row r="102">
      <c r="A102" s="2" t="n"/>
      <c r="B102" s="2" t="n"/>
      <c r="C102" s="2" t="n"/>
      <c r="D102" s="2" t="n"/>
      <c r="E102">
        <f>E101+IF(B102="Entrada",D102,-D102)</f>
        <v/>
      </c>
    </row>
    <row r="103">
      <c r="A103" s="2" t="n"/>
      <c r="B103" s="2" t="n"/>
      <c r="C103" s="2" t="n"/>
      <c r="D103" s="2" t="n"/>
      <c r="E103">
        <f>E102+IF(B103="Entrada",D103,-D103)</f>
        <v/>
      </c>
    </row>
    <row r="104">
      <c r="A104" s="2" t="n"/>
      <c r="B104" s="2" t="n"/>
      <c r="C104" s="2" t="n"/>
      <c r="D104" s="2" t="n"/>
      <c r="E104">
        <f>E103+IF(B104="Entrada",D104,-D104)</f>
        <v/>
      </c>
    </row>
    <row r="105">
      <c r="A105" s="2" t="n"/>
      <c r="B105" s="2" t="n"/>
      <c r="C105" s="2" t="n"/>
      <c r="D105" s="2" t="n"/>
      <c r="E105">
        <f>E104+IF(B105="Entrada",D105,-D105)</f>
        <v/>
      </c>
    </row>
    <row r="106">
      <c r="A106" s="2" t="n"/>
      <c r="B106" s="2" t="n"/>
      <c r="C106" s="2" t="n"/>
      <c r="D106" s="2" t="n"/>
      <c r="E106">
        <f>E105+IF(B106="Entrada",D106,-D106)</f>
        <v/>
      </c>
    </row>
    <row r="107">
      <c r="A107" s="2" t="n"/>
      <c r="B107" s="2" t="n"/>
      <c r="C107" s="2" t="n"/>
      <c r="D107" s="2" t="n"/>
      <c r="E107">
        <f>E106+IF(B107="Entrada",D107,-D107)</f>
        <v/>
      </c>
    </row>
    <row r="108">
      <c r="A108" s="2" t="n"/>
      <c r="B108" s="2" t="n"/>
      <c r="C108" s="2" t="n"/>
      <c r="D108" s="2" t="n"/>
      <c r="E108">
        <f>E107+IF(B108="Entrada",D108,-D108)</f>
        <v/>
      </c>
    </row>
    <row r="109">
      <c r="A109" s="2" t="n"/>
      <c r="B109" s="2" t="n"/>
      <c r="C109" s="2" t="n"/>
      <c r="D109" s="2" t="n"/>
      <c r="E109">
        <f>E108+IF(B109="Entrada",D109,-D109)</f>
        <v/>
      </c>
    </row>
    <row r="110">
      <c r="A110" s="2" t="n"/>
      <c r="B110" s="2" t="n"/>
      <c r="C110" s="2" t="n"/>
      <c r="D110" s="2" t="n"/>
      <c r="E110">
        <f>E109+IF(B110="Entrada",D110,-D110)</f>
        <v/>
      </c>
    </row>
    <row r="111">
      <c r="A111" s="2" t="n"/>
      <c r="B111" s="2" t="n"/>
      <c r="C111" s="2" t="n"/>
      <c r="D111" s="2" t="n"/>
      <c r="E111">
        <f>E110+IF(B111="Entrada",D111,-D111)</f>
        <v/>
      </c>
    </row>
    <row r="112">
      <c r="A112" s="2" t="n"/>
      <c r="B112" s="2" t="n"/>
      <c r="C112" s="2" t="n"/>
      <c r="D112" s="2" t="n"/>
      <c r="E112">
        <f>E111+IF(B112="Entrada",D112,-D112)</f>
        <v/>
      </c>
    </row>
    <row r="113">
      <c r="A113" s="2" t="n"/>
      <c r="B113" s="2" t="n"/>
      <c r="C113" s="2" t="n"/>
      <c r="D113" s="2" t="n"/>
      <c r="E113">
        <f>E112+IF(B113="Entrada",D113,-D113)</f>
        <v/>
      </c>
    </row>
    <row r="114">
      <c r="A114" s="2" t="n"/>
      <c r="B114" s="2" t="n"/>
      <c r="C114" s="2" t="n"/>
      <c r="D114" s="2" t="n"/>
      <c r="E114">
        <f>E113+IF(B114="Entrada",D114,-D114)</f>
        <v/>
      </c>
    </row>
    <row r="115">
      <c r="A115" s="2" t="n"/>
      <c r="B115" s="2" t="n"/>
      <c r="C115" s="2" t="n"/>
      <c r="D115" s="2" t="n"/>
      <c r="E115">
        <f>E114+IF(B115="Entrada",D115,-D115)</f>
        <v/>
      </c>
    </row>
    <row r="116">
      <c r="A116" s="2" t="n"/>
      <c r="B116" s="2" t="n"/>
      <c r="C116" s="2" t="n"/>
      <c r="D116" s="2" t="n"/>
      <c r="E116">
        <f>E115+IF(B116="Entrada",D116,-D116)</f>
        <v/>
      </c>
    </row>
    <row r="117">
      <c r="A117" s="2" t="n"/>
      <c r="B117" s="2" t="n"/>
      <c r="C117" s="2" t="n"/>
      <c r="D117" s="2" t="n"/>
      <c r="E117">
        <f>E116+IF(B117="Entrada",D117,-D117)</f>
        <v/>
      </c>
    </row>
    <row r="118">
      <c r="A118" s="2" t="n"/>
      <c r="B118" s="2" t="n"/>
      <c r="C118" s="2" t="n"/>
      <c r="D118" s="2" t="n"/>
      <c r="E118">
        <f>E117+IF(B118="Entrada",D118,-D118)</f>
        <v/>
      </c>
    </row>
    <row r="119">
      <c r="A119" s="2" t="n"/>
      <c r="B119" s="2" t="n"/>
      <c r="C119" s="2" t="n"/>
      <c r="D119" s="2" t="n"/>
      <c r="E119">
        <f>E118+IF(B119="Entrada",D119,-D119)</f>
        <v/>
      </c>
    </row>
    <row r="120">
      <c r="A120" s="2" t="n"/>
      <c r="B120" s="2" t="n"/>
      <c r="C120" s="2" t="n"/>
      <c r="D120" s="2" t="n"/>
      <c r="E120">
        <f>E119+IF(B120="Entrada",D120,-D120)</f>
        <v/>
      </c>
    </row>
    <row r="121">
      <c r="A121" s="2" t="n"/>
      <c r="B121" s="2" t="n"/>
      <c r="C121" s="2" t="n"/>
      <c r="D121" s="2" t="n"/>
      <c r="E121">
        <f>E120+IF(B121="Entrada",D121,-D121)</f>
        <v/>
      </c>
    </row>
    <row r="122">
      <c r="A122" s="2" t="n"/>
      <c r="B122" s="2" t="n"/>
      <c r="C122" s="2" t="n"/>
      <c r="D122" s="2" t="n"/>
      <c r="E122">
        <f>E121+IF(B122="Entrada",D122,-D122)</f>
        <v/>
      </c>
    </row>
    <row r="123">
      <c r="A123" s="2" t="n"/>
      <c r="B123" s="2" t="n"/>
      <c r="C123" s="2" t="n"/>
      <c r="D123" s="2" t="n"/>
      <c r="E123">
        <f>E122+IF(B123="Entrada",D123,-D123)</f>
        <v/>
      </c>
    </row>
    <row r="124">
      <c r="A124" s="2" t="n"/>
      <c r="B124" s="2" t="n"/>
      <c r="C124" s="2" t="n"/>
      <c r="D124" s="2" t="n"/>
      <c r="E124">
        <f>E123+IF(B124="Entrada",D124,-D124)</f>
        <v/>
      </c>
    </row>
    <row r="125">
      <c r="A125" s="2" t="n"/>
      <c r="B125" s="2" t="n"/>
      <c r="C125" s="2" t="n"/>
      <c r="D125" s="2" t="n"/>
      <c r="E125">
        <f>E124+IF(B125="Entrada",D125,-D125)</f>
        <v/>
      </c>
    </row>
    <row r="126">
      <c r="A126" s="2" t="n"/>
      <c r="B126" s="2" t="n"/>
      <c r="C126" s="2" t="n"/>
      <c r="D126" s="2" t="n"/>
      <c r="E126">
        <f>E125+IF(B126="Entrada",D126,-D126)</f>
        <v/>
      </c>
    </row>
    <row r="127">
      <c r="A127" s="2" t="n"/>
      <c r="B127" s="2" t="n"/>
      <c r="C127" s="2" t="n"/>
      <c r="D127" s="2" t="n"/>
      <c r="E127">
        <f>E126+IF(B127="Entrada",D127,-D127)</f>
        <v/>
      </c>
    </row>
    <row r="128">
      <c r="A128" s="2" t="n"/>
      <c r="B128" s="2" t="n"/>
      <c r="C128" s="2" t="n"/>
      <c r="D128" s="2" t="n"/>
      <c r="E128">
        <f>E127+IF(B128="Entrada",D128,-D128)</f>
        <v/>
      </c>
    </row>
    <row r="129">
      <c r="A129" s="2" t="n"/>
      <c r="B129" s="2" t="n"/>
      <c r="C129" s="2" t="n"/>
      <c r="D129" s="2" t="n"/>
      <c r="E129">
        <f>E128+IF(B129="Entrada",D129,-D129)</f>
        <v/>
      </c>
    </row>
    <row r="130">
      <c r="A130" s="2" t="n"/>
      <c r="B130" s="2" t="n"/>
      <c r="C130" s="2" t="n"/>
      <c r="D130" s="2" t="n"/>
      <c r="E130">
        <f>E129+IF(B130="Entrada",D130,-D130)</f>
        <v/>
      </c>
    </row>
    <row r="131">
      <c r="A131" s="2" t="n"/>
      <c r="B131" s="2" t="n"/>
      <c r="C131" s="2" t="n"/>
      <c r="D131" s="2" t="n"/>
      <c r="E131">
        <f>E130+IF(B131="Entrada",D131,-D131)</f>
        <v/>
      </c>
    </row>
    <row r="132">
      <c r="A132" s="2" t="n"/>
      <c r="B132" s="2" t="n"/>
      <c r="C132" s="2" t="n"/>
      <c r="D132" s="2" t="n"/>
      <c r="E132">
        <f>E131+IF(B132="Entrada",D132,-D132)</f>
        <v/>
      </c>
    </row>
    <row r="133">
      <c r="A133" s="2" t="n"/>
      <c r="B133" s="2" t="n"/>
      <c r="C133" s="2" t="n"/>
      <c r="D133" s="2" t="n"/>
      <c r="E133">
        <f>E132+IF(B133="Entrada",D133,-D133)</f>
        <v/>
      </c>
    </row>
    <row r="134">
      <c r="A134" s="2" t="n"/>
      <c r="B134" s="2" t="n"/>
      <c r="C134" s="2" t="n"/>
      <c r="D134" s="2" t="n"/>
      <c r="E134">
        <f>E133+IF(B134="Entrada",D134,-D134)</f>
        <v/>
      </c>
    </row>
    <row r="135">
      <c r="A135" s="2" t="n"/>
      <c r="B135" s="2" t="n"/>
      <c r="C135" s="2" t="n"/>
      <c r="D135" s="2" t="n"/>
      <c r="E135">
        <f>E134+IF(B135="Entrada",D135,-D135)</f>
        <v/>
      </c>
    </row>
    <row r="136">
      <c r="A136" s="2" t="n"/>
      <c r="B136" s="2" t="n"/>
      <c r="C136" s="2" t="n"/>
      <c r="D136" s="2" t="n"/>
      <c r="E136">
        <f>E135+IF(B136="Entrada",D136,-D136)</f>
        <v/>
      </c>
    </row>
    <row r="137">
      <c r="A137" s="2" t="n"/>
      <c r="B137" s="2" t="n"/>
      <c r="C137" s="2" t="n"/>
      <c r="D137" s="2" t="n"/>
      <c r="E137">
        <f>E136+IF(B137="Entrada",D137,-D137)</f>
        <v/>
      </c>
    </row>
    <row r="138">
      <c r="A138" s="2" t="n"/>
      <c r="B138" s="2" t="n"/>
      <c r="C138" s="2" t="n"/>
      <c r="D138" s="2" t="n"/>
      <c r="E138">
        <f>E137+IF(B138="Entrada",D138,-D138)</f>
        <v/>
      </c>
    </row>
    <row r="139">
      <c r="A139" s="2" t="n"/>
      <c r="B139" s="2" t="n"/>
      <c r="C139" s="2" t="n"/>
      <c r="D139" s="2" t="n"/>
      <c r="E139">
        <f>E138+IF(B139="Entrada",D139,-D139)</f>
        <v/>
      </c>
    </row>
    <row r="140">
      <c r="A140" s="2" t="n"/>
      <c r="B140" s="2" t="n"/>
      <c r="C140" s="2" t="n"/>
      <c r="D140" s="2" t="n"/>
      <c r="E140">
        <f>E139+IF(B140="Entrada",D140,-D140)</f>
        <v/>
      </c>
    </row>
    <row r="141">
      <c r="A141" s="2" t="n"/>
      <c r="B141" s="2" t="n"/>
      <c r="C141" s="2" t="n"/>
      <c r="D141" s="2" t="n"/>
      <c r="E141">
        <f>E140+IF(B141="Entrada",D141,-D141)</f>
        <v/>
      </c>
    </row>
    <row r="142">
      <c r="A142" s="2" t="n"/>
      <c r="B142" s="2" t="n"/>
      <c r="C142" s="2" t="n"/>
      <c r="D142" s="2" t="n"/>
      <c r="E142">
        <f>E141+IF(B142="Entrada",D142,-D142)</f>
        <v/>
      </c>
    </row>
    <row r="143">
      <c r="A143" s="2" t="n"/>
      <c r="B143" s="2" t="n"/>
      <c r="C143" s="2" t="n"/>
      <c r="D143" s="2" t="n"/>
      <c r="E143">
        <f>E142+IF(B143="Entrada",D143,-D143)</f>
        <v/>
      </c>
    </row>
    <row r="144">
      <c r="A144" s="2" t="n"/>
      <c r="B144" s="2" t="n"/>
      <c r="C144" s="2" t="n"/>
      <c r="D144" s="2" t="n"/>
      <c r="E144">
        <f>E143+IF(B144="Entrada",D144,-D144)</f>
        <v/>
      </c>
    </row>
    <row r="145">
      <c r="A145" s="2" t="n"/>
      <c r="B145" s="2" t="n"/>
      <c r="C145" s="2" t="n"/>
      <c r="D145" s="2" t="n"/>
      <c r="E145">
        <f>E144+IF(B145="Entrada",D145,-D145)</f>
        <v/>
      </c>
    </row>
    <row r="146">
      <c r="A146" s="2" t="n"/>
      <c r="B146" s="2" t="n"/>
      <c r="C146" s="2" t="n"/>
      <c r="D146" s="2" t="n"/>
      <c r="E146">
        <f>E145+IF(B146="Entrada",D146,-D146)</f>
        <v/>
      </c>
    </row>
    <row r="147">
      <c r="A147" s="2" t="n"/>
      <c r="B147" s="2" t="n"/>
      <c r="C147" s="2" t="n"/>
      <c r="D147" s="2" t="n"/>
      <c r="E147">
        <f>E146+IF(B147="Entrada",D147,-D147)</f>
        <v/>
      </c>
    </row>
    <row r="148">
      <c r="A148" s="2" t="n"/>
      <c r="B148" s="2" t="n"/>
      <c r="C148" s="2" t="n"/>
      <c r="D148" s="2" t="n"/>
      <c r="E148">
        <f>E147+IF(B148="Entrada",D148,-D148)</f>
        <v/>
      </c>
    </row>
    <row r="149">
      <c r="A149" s="2" t="n"/>
      <c r="B149" s="2" t="n"/>
      <c r="C149" s="2" t="n"/>
      <c r="D149" s="2" t="n"/>
      <c r="E149">
        <f>E148+IF(B149="Entrada",D149,-D149)</f>
        <v/>
      </c>
    </row>
    <row r="150">
      <c r="A150" s="2" t="n"/>
      <c r="B150" s="2" t="n"/>
      <c r="C150" s="2" t="n"/>
      <c r="D150" s="2" t="n"/>
      <c r="E150">
        <f>E149+IF(B150="Entrada",D150,-D150)</f>
        <v/>
      </c>
    </row>
    <row r="151">
      <c r="A151" s="2" t="n"/>
      <c r="B151" s="2" t="n"/>
      <c r="C151" s="2" t="n"/>
      <c r="D151" s="2" t="n"/>
      <c r="E151">
        <f>E150+IF(B151="Entrada",D151,-D151)</f>
        <v/>
      </c>
    </row>
    <row r="152">
      <c r="A152" s="2" t="n"/>
      <c r="B152" s="2" t="n"/>
      <c r="C152" s="2" t="n"/>
      <c r="D152" s="2" t="n"/>
      <c r="E152">
        <f>E151+IF(B152="Entrada",D152,-D152)</f>
        <v/>
      </c>
    </row>
    <row r="153">
      <c r="A153" s="2" t="n"/>
      <c r="B153" s="2" t="n"/>
      <c r="C153" s="2" t="n"/>
      <c r="D153" s="2" t="n"/>
      <c r="E153">
        <f>E152+IF(B153="Entrada",D153,-D153)</f>
        <v/>
      </c>
    </row>
    <row r="154">
      <c r="A154" s="2" t="n"/>
      <c r="B154" s="2" t="n"/>
      <c r="C154" s="2" t="n"/>
      <c r="D154" s="2" t="n"/>
      <c r="E154">
        <f>E153+IF(B154="Entrada",D154,-D154)</f>
        <v/>
      </c>
    </row>
    <row r="155">
      <c r="A155" s="2" t="n"/>
      <c r="B155" s="2" t="n"/>
      <c r="C155" s="2" t="n"/>
      <c r="D155" s="2" t="n"/>
      <c r="E155">
        <f>E154+IF(B155="Entrada",D155,-D155)</f>
        <v/>
      </c>
    </row>
    <row r="156">
      <c r="A156" s="2" t="n"/>
      <c r="B156" s="2" t="n"/>
      <c r="C156" s="2" t="n"/>
      <c r="D156" s="2" t="n"/>
      <c r="E156">
        <f>E155+IF(B156="Entrada",D156,-D156)</f>
        <v/>
      </c>
    </row>
    <row r="157">
      <c r="A157" s="2" t="n"/>
      <c r="B157" s="2" t="n"/>
      <c r="C157" s="2" t="n"/>
      <c r="D157" s="2" t="n"/>
      <c r="E157">
        <f>E156+IF(B157="Entrada",D157,-D157)</f>
        <v/>
      </c>
    </row>
    <row r="158">
      <c r="A158" s="2" t="n"/>
      <c r="B158" s="2" t="n"/>
      <c r="C158" s="2" t="n"/>
      <c r="D158" s="2" t="n"/>
      <c r="E158">
        <f>E157+IF(B158="Entrada",D158,-D158)</f>
        <v/>
      </c>
    </row>
    <row r="159">
      <c r="A159" s="2" t="n"/>
      <c r="B159" s="2" t="n"/>
      <c r="C159" s="2" t="n"/>
      <c r="D159" s="2" t="n"/>
      <c r="E159">
        <f>E158+IF(B159="Entrada",D159,-D159)</f>
        <v/>
      </c>
    </row>
    <row r="160">
      <c r="A160" s="2" t="n"/>
      <c r="B160" s="2" t="n"/>
      <c r="C160" s="2" t="n"/>
      <c r="D160" s="2" t="n"/>
      <c r="E160">
        <f>E159+IF(B160="Entrada",D160,-D160)</f>
        <v/>
      </c>
    </row>
    <row r="161">
      <c r="A161" s="2" t="n"/>
      <c r="B161" s="2" t="n"/>
      <c r="C161" s="2" t="n"/>
      <c r="D161" s="2" t="n"/>
      <c r="E161">
        <f>E160+IF(B161="Entrada",D161,-D161)</f>
        <v/>
      </c>
    </row>
    <row r="162">
      <c r="A162" s="2" t="n"/>
      <c r="B162" s="2" t="n"/>
      <c r="C162" s="2" t="n"/>
      <c r="D162" s="2" t="n"/>
      <c r="E162">
        <f>E161+IF(B162="Entrada",D162,-D162)</f>
        <v/>
      </c>
    </row>
    <row r="163">
      <c r="A163" s="2" t="n"/>
      <c r="B163" s="2" t="n"/>
      <c r="C163" s="2" t="n"/>
      <c r="D163" s="2" t="n"/>
      <c r="E163">
        <f>E162+IF(B163="Entrada",D163,-D163)</f>
        <v/>
      </c>
    </row>
    <row r="164">
      <c r="A164" s="2" t="n"/>
      <c r="B164" s="2" t="n"/>
      <c r="C164" s="2" t="n"/>
      <c r="D164" s="2" t="n"/>
      <c r="E164">
        <f>E163+IF(B164="Entrada",D164,-D164)</f>
        <v/>
      </c>
    </row>
    <row r="165">
      <c r="A165" s="2" t="n"/>
      <c r="B165" s="2" t="n"/>
      <c r="C165" s="2" t="n"/>
      <c r="D165" s="2" t="n"/>
      <c r="E165">
        <f>E164+IF(B165="Entrada",D165,-D165)</f>
        <v/>
      </c>
    </row>
    <row r="166">
      <c r="A166" s="2" t="n"/>
      <c r="B166" s="2" t="n"/>
      <c r="C166" s="2" t="n"/>
      <c r="D166" s="2" t="n"/>
      <c r="E166">
        <f>E165+IF(B166="Entrada",D166,-D166)</f>
        <v/>
      </c>
    </row>
    <row r="167">
      <c r="A167" s="2" t="n"/>
      <c r="B167" s="2" t="n"/>
      <c r="C167" s="2" t="n"/>
      <c r="D167" s="2" t="n"/>
      <c r="E167">
        <f>E166+IF(B167="Entrada",D167,-D167)</f>
        <v/>
      </c>
    </row>
    <row r="168">
      <c r="A168" s="2" t="n"/>
      <c r="B168" s="2" t="n"/>
      <c r="C168" s="2" t="n"/>
      <c r="D168" s="2" t="n"/>
      <c r="E168">
        <f>E167+IF(B168="Entrada",D168,-D168)</f>
        <v/>
      </c>
    </row>
    <row r="169">
      <c r="A169" s="2" t="n"/>
      <c r="B169" s="2" t="n"/>
      <c r="C169" s="2" t="n"/>
      <c r="D169" s="2" t="n"/>
      <c r="E169">
        <f>E168+IF(B169="Entrada",D169,-D169)</f>
        <v/>
      </c>
    </row>
    <row r="170">
      <c r="A170" s="2" t="n"/>
      <c r="B170" s="2" t="n"/>
      <c r="C170" s="2" t="n"/>
      <c r="D170" s="2" t="n"/>
      <c r="E170">
        <f>E169+IF(B170="Entrada",D170,-D170)</f>
        <v/>
      </c>
    </row>
    <row r="171">
      <c r="A171" s="2" t="n"/>
      <c r="B171" s="2" t="n"/>
      <c r="C171" s="2" t="n"/>
      <c r="D171" s="2" t="n"/>
      <c r="E171">
        <f>E170+IF(B171="Entrada",D171,-D171)</f>
        <v/>
      </c>
    </row>
    <row r="172">
      <c r="A172" s="2" t="n"/>
      <c r="B172" s="2" t="n"/>
      <c r="C172" s="2" t="n"/>
      <c r="D172" s="2" t="n"/>
      <c r="E172">
        <f>E171+IF(B172="Entrada",D172,-D172)</f>
        <v/>
      </c>
    </row>
    <row r="173">
      <c r="A173" s="2" t="n"/>
      <c r="B173" s="2" t="n"/>
      <c r="C173" s="2" t="n"/>
      <c r="D173" s="2" t="n"/>
      <c r="E173">
        <f>E172+IF(B173="Entrada",D173,-D173)</f>
        <v/>
      </c>
    </row>
    <row r="174">
      <c r="A174" s="2" t="n"/>
      <c r="B174" s="2" t="n"/>
      <c r="C174" s="2" t="n"/>
      <c r="D174" s="2" t="n"/>
      <c r="E174">
        <f>E173+IF(B174="Entrada",D174,-D174)</f>
        <v/>
      </c>
    </row>
    <row r="175">
      <c r="A175" s="2" t="n"/>
      <c r="B175" s="2" t="n"/>
      <c r="C175" s="2" t="n"/>
      <c r="D175" s="2" t="n"/>
      <c r="E175">
        <f>E174+IF(B175="Entrada",D175,-D175)</f>
        <v/>
      </c>
    </row>
    <row r="176">
      <c r="A176" s="2" t="n"/>
      <c r="B176" s="2" t="n"/>
      <c r="C176" s="2" t="n"/>
      <c r="D176" s="2" t="n"/>
      <c r="E176">
        <f>E175+IF(B176="Entrada",D176,-D176)</f>
        <v/>
      </c>
    </row>
    <row r="177">
      <c r="A177" s="2" t="n"/>
      <c r="B177" s="2" t="n"/>
      <c r="C177" s="2" t="n"/>
      <c r="D177" s="2" t="n"/>
      <c r="E177">
        <f>E176+IF(B177="Entrada",D177,-D177)</f>
        <v/>
      </c>
    </row>
    <row r="178">
      <c r="A178" s="2" t="n"/>
      <c r="B178" s="2" t="n"/>
      <c r="C178" s="2" t="n"/>
      <c r="D178" s="2" t="n"/>
      <c r="E178">
        <f>E177+IF(B178="Entrada",D178,-D178)</f>
        <v/>
      </c>
    </row>
    <row r="179">
      <c r="A179" s="2" t="n"/>
      <c r="B179" s="2" t="n"/>
      <c r="C179" s="2" t="n"/>
      <c r="D179" s="2" t="n"/>
      <c r="E179">
        <f>E178+IF(B179="Entrada",D179,-D179)</f>
        <v/>
      </c>
    </row>
    <row r="180">
      <c r="A180" s="2" t="n"/>
      <c r="B180" s="2" t="n"/>
      <c r="C180" s="2" t="n"/>
      <c r="D180" s="2" t="n"/>
      <c r="E180">
        <f>E179+IF(B180="Entrada",D180,-D180)</f>
        <v/>
      </c>
    </row>
    <row r="181">
      <c r="A181" s="2" t="n"/>
      <c r="B181" s="2" t="n"/>
      <c r="C181" s="2" t="n"/>
      <c r="D181" s="2" t="n"/>
      <c r="E181">
        <f>E180+IF(B181="Entrada",D181,-D181)</f>
        <v/>
      </c>
    </row>
    <row r="182">
      <c r="A182" s="2" t="n"/>
      <c r="B182" s="2" t="n"/>
      <c r="C182" s="2" t="n"/>
      <c r="D182" s="2" t="n"/>
      <c r="E182">
        <f>E181+IF(B182="Entrada",D182,-D182)</f>
        <v/>
      </c>
    </row>
    <row r="183">
      <c r="A183" s="2" t="n"/>
      <c r="B183" s="2" t="n"/>
      <c r="C183" s="2" t="n"/>
      <c r="D183" s="2" t="n"/>
      <c r="E183">
        <f>E182+IF(B183="Entrada",D183,-D183)</f>
        <v/>
      </c>
    </row>
    <row r="184">
      <c r="A184" s="2" t="n"/>
      <c r="B184" s="2" t="n"/>
      <c r="C184" s="2" t="n"/>
      <c r="D184" s="2" t="n"/>
      <c r="E184">
        <f>E183+IF(B184="Entrada",D184,-D184)</f>
        <v/>
      </c>
    </row>
    <row r="185">
      <c r="A185" s="2" t="n"/>
      <c r="B185" s="2" t="n"/>
      <c r="C185" s="2" t="n"/>
      <c r="D185" s="2" t="n"/>
      <c r="E185">
        <f>E184+IF(B185="Entrada",D185,-D185)</f>
        <v/>
      </c>
    </row>
    <row r="186">
      <c r="A186" s="2" t="n"/>
      <c r="B186" s="2" t="n"/>
      <c r="C186" s="2" t="n"/>
      <c r="D186" s="2" t="n"/>
      <c r="E186">
        <f>E185+IF(B186="Entrada",D186,-D186)</f>
        <v/>
      </c>
    </row>
    <row r="187">
      <c r="A187" s="2" t="n"/>
      <c r="B187" s="2" t="n"/>
      <c r="C187" s="2" t="n"/>
      <c r="D187" s="2" t="n"/>
      <c r="E187">
        <f>E186+IF(B187="Entrada",D187,-D187)</f>
        <v/>
      </c>
    </row>
    <row r="188">
      <c r="A188" s="2" t="n"/>
      <c r="B188" s="2" t="n"/>
      <c r="C188" s="2" t="n"/>
      <c r="D188" s="2" t="n"/>
      <c r="E188">
        <f>E187+IF(B188="Entrada",D188,-D188)</f>
        <v/>
      </c>
    </row>
    <row r="189">
      <c r="A189" s="2" t="n"/>
      <c r="B189" s="2" t="n"/>
      <c r="C189" s="2" t="n"/>
      <c r="D189" s="2" t="n"/>
      <c r="E189">
        <f>E188+IF(B189="Entrada",D189,-D189)</f>
        <v/>
      </c>
    </row>
    <row r="190">
      <c r="A190" s="2" t="n"/>
      <c r="B190" s="2" t="n"/>
      <c r="C190" s="2" t="n"/>
      <c r="D190" s="2" t="n"/>
      <c r="E190">
        <f>E189+IF(B190="Entrada",D190,-D190)</f>
        <v/>
      </c>
    </row>
    <row r="191">
      <c r="A191" s="2" t="n"/>
      <c r="B191" s="2" t="n"/>
      <c r="C191" s="2" t="n"/>
      <c r="D191" s="2" t="n"/>
      <c r="E191">
        <f>E190+IF(B191="Entrada",D191,-D191)</f>
        <v/>
      </c>
    </row>
    <row r="192">
      <c r="A192" s="2" t="n"/>
      <c r="B192" s="2" t="n"/>
      <c r="C192" s="2" t="n"/>
      <c r="D192" s="2" t="n"/>
      <c r="E192">
        <f>E191+IF(B192="Entrada",D192,-D192)</f>
        <v/>
      </c>
    </row>
    <row r="193">
      <c r="A193" s="2" t="n"/>
      <c r="B193" s="2" t="n"/>
      <c r="C193" s="2" t="n"/>
      <c r="D193" s="2" t="n"/>
      <c r="E193">
        <f>E192+IF(B193="Entrada",D193,-D193)</f>
        <v/>
      </c>
    </row>
    <row r="194">
      <c r="A194" s="2" t="n"/>
      <c r="B194" s="2" t="n"/>
      <c r="C194" s="2" t="n"/>
      <c r="D194" s="2" t="n"/>
      <c r="E194">
        <f>E193+IF(B194="Entrada",D194,-D194)</f>
        <v/>
      </c>
    </row>
    <row r="195">
      <c r="A195" s="2" t="n"/>
      <c r="B195" s="2" t="n"/>
      <c r="C195" s="2" t="n"/>
      <c r="D195" s="2" t="n"/>
      <c r="E195">
        <f>E194+IF(B195="Entrada",D195,-D195)</f>
        <v/>
      </c>
    </row>
    <row r="196">
      <c r="A196" s="2" t="n"/>
      <c r="B196" s="2" t="n"/>
      <c r="C196" s="2" t="n"/>
      <c r="D196" s="2" t="n"/>
      <c r="E196">
        <f>E195+IF(B196="Entrada",D196,-D196)</f>
        <v/>
      </c>
    </row>
    <row r="197">
      <c r="A197" s="2" t="n"/>
      <c r="B197" s="2" t="n"/>
      <c r="C197" s="2" t="n"/>
      <c r="D197" s="2" t="n"/>
      <c r="E197">
        <f>E196+IF(B197="Entrada",D197,-D197)</f>
        <v/>
      </c>
    </row>
    <row r="198">
      <c r="A198" s="2" t="n"/>
      <c r="B198" s="2" t="n"/>
      <c r="C198" s="2" t="n"/>
      <c r="D198" s="2" t="n"/>
      <c r="E198">
        <f>E197+IF(B198="Entrada",D198,-D198)</f>
        <v/>
      </c>
    </row>
    <row r="199">
      <c r="A199" s="2" t="n"/>
      <c r="B199" s="2" t="n"/>
      <c r="C199" s="2" t="n"/>
      <c r="D199" s="2" t="n"/>
      <c r="E199">
        <f>E198+IF(B199="Entrada",D199,-D199)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Descrição</t>
        </is>
      </c>
      <c r="C1" t="inlineStr">
        <is>
          <t>Grupo</t>
        </is>
      </c>
      <c r="D1" t="inlineStr">
        <is>
          <t>Parcela</t>
        </is>
      </c>
      <c r="E1" t="inlineStr">
        <is>
          <t>Vencimento</t>
        </is>
      </c>
      <c r="F1" t="inlineStr">
        <is>
          <t>Valor</t>
        </is>
      </c>
      <c r="G1" t="inlineStr">
        <is>
          <t>Status</t>
        </is>
      </c>
      <c r="H1" t="inlineStr">
        <is>
          <t>Dias</t>
        </is>
      </c>
    </row>
    <row r="2">
      <c r="A2" s="2" t="n"/>
      <c r="B2" s="2" t="n"/>
      <c r="C2" s="2" t="n"/>
      <c r="D2" s="2" t="n"/>
      <c r="E2" s="2" t="n"/>
      <c r="F2" s="2" t="n"/>
      <c r="G2">
        <f>IF(F2="","",IF(TODAY()&gt;E2,"Vencido",IF(E2-TODAY()&lt;=5,"Vence em Breve","A Vencer")))</f>
        <v/>
      </c>
      <c r="H2">
        <f>IF(E2="","",E2-TODAY())</f>
        <v/>
      </c>
    </row>
    <row r="3">
      <c r="A3" s="2" t="n"/>
      <c r="B3" s="2" t="n"/>
      <c r="C3" s="2" t="n"/>
      <c r="D3" s="2" t="n"/>
      <c r="E3" s="2" t="n"/>
      <c r="F3" s="2" t="n"/>
      <c r="G3">
        <f>IF(F3="","",IF(TODAY()&gt;E3,"Vencido",IF(E3-TODAY()&lt;=5,"Vence em Breve","A Vencer")))</f>
        <v/>
      </c>
      <c r="H3">
        <f>IF(E3="","",E3-TODAY())</f>
        <v/>
      </c>
    </row>
    <row r="4">
      <c r="A4" s="2" t="n"/>
      <c r="B4" s="2" t="n"/>
      <c r="C4" s="2" t="n"/>
      <c r="D4" s="2" t="n"/>
      <c r="E4" s="2" t="n"/>
      <c r="F4" s="2" t="n"/>
      <c r="G4">
        <f>IF(F4="","",IF(TODAY()&gt;E4,"Vencido",IF(E4-TODAY()&lt;=5,"Vence em Breve","A Vencer")))</f>
        <v/>
      </c>
      <c r="H4">
        <f>IF(E4="","",E4-TODAY())</f>
        <v/>
      </c>
    </row>
    <row r="5">
      <c r="A5" s="2" t="n"/>
      <c r="B5" s="2" t="n"/>
      <c r="C5" s="2" t="n"/>
      <c r="D5" s="2" t="n"/>
      <c r="E5" s="2" t="n"/>
      <c r="F5" s="2" t="n"/>
      <c r="G5">
        <f>IF(F5="","",IF(TODAY()&gt;E5,"Vencido",IF(E5-TODAY()&lt;=5,"Vence em Breve","A Vencer")))</f>
        <v/>
      </c>
      <c r="H5">
        <f>IF(E5="","",E5-TODAY())</f>
        <v/>
      </c>
    </row>
    <row r="6">
      <c r="A6" s="2" t="n"/>
      <c r="B6" s="2" t="n"/>
      <c r="C6" s="2" t="n"/>
      <c r="D6" s="2" t="n"/>
      <c r="E6" s="2" t="n"/>
      <c r="F6" s="2" t="n"/>
      <c r="G6">
        <f>IF(F6="","",IF(TODAY()&gt;E6,"Vencido",IF(E6-TODAY()&lt;=5,"Vence em Breve","A Vencer")))</f>
        <v/>
      </c>
      <c r="H6">
        <f>IF(E6="","",E6-TODAY())</f>
        <v/>
      </c>
    </row>
    <row r="7">
      <c r="A7" s="2" t="n"/>
      <c r="B7" s="2" t="n"/>
      <c r="C7" s="2" t="n"/>
      <c r="D7" s="2" t="n"/>
      <c r="E7" s="2" t="n"/>
      <c r="F7" s="2" t="n"/>
      <c r="G7">
        <f>IF(F7="","",IF(TODAY()&gt;E7,"Vencido",IF(E7-TODAY()&lt;=5,"Vence em Breve","A Vencer")))</f>
        <v/>
      </c>
      <c r="H7">
        <f>IF(E7="","",E7-TODAY())</f>
        <v/>
      </c>
    </row>
    <row r="8">
      <c r="A8" s="2" t="n"/>
      <c r="B8" s="2" t="n"/>
      <c r="C8" s="2" t="n"/>
      <c r="D8" s="2" t="n"/>
      <c r="E8" s="2" t="n"/>
      <c r="F8" s="2" t="n"/>
      <c r="G8">
        <f>IF(F8="","",IF(TODAY()&gt;E8,"Vencido",IF(E8-TODAY()&lt;=5,"Vence em Breve","A Vencer")))</f>
        <v/>
      </c>
      <c r="H8">
        <f>IF(E8="","",E8-TODAY())</f>
        <v/>
      </c>
    </row>
    <row r="9">
      <c r="A9" s="2" t="n"/>
      <c r="B9" s="2" t="n"/>
      <c r="C9" s="2" t="n"/>
      <c r="D9" s="2" t="n"/>
      <c r="E9" s="2" t="n"/>
      <c r="F9" s="2" t="n"/>
      <c r="G9">
        <f>IF(F9="","",IF(TODAY()&gt;E9,"Vencido",IF(E9-TODAY()&lt;=5,"Vence em Breve","A Vencer")))</f>
        <v/>
      </c>
      <c r="H9">
        <f>IF(E9="","",E9-TODAY())</f>
        <v/>
      </c>
    </row>
    <row r="10">
      <c r="A10" s="2" t="n"/>
      <c r="B10" s="2" t="n"/>
      <c r="C10" s="2" t="n"/>
      <c r="D10" s="2" t="n"/>
      <c r="E10" s="2" t="n"/>
      <c r="F10" s="2" t="n"/>
      <c r="G10">
        <f>IF(F10="","",IF(TODAY()&gt;E10,"Vencido",IF(E10-TODAY()&lt;=5,"Vence em Breve","A Vencer")))</f>
        <v/>
      </c>
      <c r="H10">
        <f>IF(E10="","",E10-TODAY())</f>
        <v/>
      </c>
    </row>
    <row r="11">
      <c r="A11" s="2" t="n"/>
      <c r="B11" s="2" t="n"/>
      <c r="C11" s="2" t="n"/>
      <c r="D11" s="2" t="n"/>
      <c r="E11" s="2" t="n"/>
      <c r="F11" s="2" t="n"/>
      <c r="G11">
        <f>IF(F11="","",IF(TODAY()&gt;E11,"Vencido",IF(E11-TODAY()&lt;=5,"Vence em Breve","A Vencer")))</f>
        <v/>
      </c>
      <c r="H11">
        <f>IF(E11="","",E11-TODAY())</f>
        <v/>
      </c>
    </row>
    <row r="12">
      <c r="A12" s="2" t="n"/>
      <c r="B12" s="2" t="n"/>
      <c r="C12" s="2" t="n"/>
      <c r="D12" s="2" t="n"/>
      <c r="E12" s="2" t="n"/>
      <c r="F12" s="2" t="n"/>
      <c r="G12">
        <f>IF(F12="","",IF(TODAY()&gt;E12,"Vencido",IF(E12-TODAY()&lt;=5,"Vence em Breve","A Vencer")))</f>
        <v/>
      </c>
      <c r="H12">
        <f>IF(E12="","",E12-TODAY())</f>
        <v/>
      </c>
    </row>
    <row r="13">
      <c r="A13" s="2" t="n"/>
      <c r="B13" s="2" t="n"/>
      <c r="C13" s="2" t="n"/>
      <c r="D13" s="2" t="n"/>
      <c r="E13" s="2" t="n"/>
      <c r="F13" s="2" t="n"/>
      <c r="G13">
        <f>IF(F13="","",IF(TODAY()&gt;E13,"Vencido",IF(E13-TODAY()&lt;=5,"Vence em Breve","A Vencer")))</f>
        <v/>
      </c>
      <c r="H13">
        <f>IF(E13="","",E13-TODAY())</f>
        <v/>
      </c>
    </row>
    <row r="14">
      <c r="A14" s="2" t="n"/>
      <c r="B14" s="2" t="n"/>
      <c r="C14" s="2" t="n"/>
      <c r="D14" s="2" t="n"/>
      <c r="E14" s="2" t="n"/>
      <c r="F14" s="2" t="n"/>
      <c r="G14">
        <f>IF(F14="","",IF(TODAY()&gt;E14,"Vencido",IF(E14-TODAY()&lt;=5,"Vence em Breve","A Vencer")))</f>
        <v/>
      </c>
      <c r="H14">
        <f>IF(E14="","",E14-TODAY())</f>
        <v/>
      </c>
    </row>
    <row r="15">
      <c r="A15" s="2" t="n"/>
      <c r="B15" s="2" t="n"/>
      <c r="C15" s="2" t="n"/>
      <c r="D15" s="2" t="n"/>
      <c r="E15" s="2" t="n"/>
      <c r="F15" s="2" t="n"/>
      <c r="G15">
        <f>IF(F15="","",IF(TODAY()&gt;E15,"Vencido",IF(E15-TODAY()&lt;=5,"Vence em Breve","A Vencer")))</f>
        <v/>
      </c>
      <c r="H15">
        <f>IF(E15="","",E15-TODAY())</f>
        <v/>
      </c>
    </row>
    <row r="16">
      <c r="A16" s="2" t="n"/>
      <c r="B16" s="2" t="n"/>
      <c r="C16" s="2" t="n"/>
      <c r="D16" s="2" t="n"/>
      <c r="E16" s="2" t="n"/>
      <c r="F16" s="2" t="n"/>
      <c r="G16">
        <f>IF(F16="","",IF(TODAY()&gt;E16,"Vencido",IF(E16-TODAY()&lt;=5,"Vence em Breve","A Vencer")))</f>
        <v/>
      </c>
      <c r="H16">
        <f>IF(E16="","",E16-TODAY())</f>
        <v/>
      </c>
    </row>
    <row r="17">
      <c r="A17" s="2" t="n"/>
      <c r="B17" s="2" t="n"/>
      <c r="C17" s="2" t="n"/>
      <c r="D17" s="2" t="n"/>
      <c r="E17" s="2" t="n"/>
      <c r="F17" s="2" t="n"/>
      <c r="G17">
        <f>IF(F17="","",IF(TODAY()&gt;E17,"Vencido",IF(E17-TODAY()&lt;=5,"Vence em Breve","A Vencer")))</f>
        <v/>
      </c>
      <c r="H17">
        <f>IF(E17="","",E17-TODAY())</f>
        <v/>
      </c>
    </row>
    <row r="18">
      <c r="A18" s="2" t="n"/>
      <c r="B18" s="2" t="n"/>
      <c r="C18" s="2" t="n"/>
      <c r="D18" s="2" t="n"/>
      <c r="E18" s="2" t="n"/>
      <c r="F18" s="2" t="n"/>
      <c r="G18">
        <f>IF(F18="","",IF(TODAY()&gt;E18,"Vencido",IF(E18-TODAY()&lt;=5,"Vence em Breve","A Vencer")))</f>
        <v/>
      </c>
      <c r="H18">
        <f>IF(E18="","",E18-TODAY())</f>
        <v/>
      </c>
    </row>
    <row r="19">
      <c r="A19" s="2" t="n"/>
      <c r="B19" s="2" t="n"/>
      <c r="C19" s="2" t="n"/>
      <c r="D19" s="2" t="n"/>
      <c r="E19" s="2" t="n"/>
      <c r="F19" s="2" t="n"/>
      <c r="G19">
        <f>IF(F19="","",IF(TODAY()&gt;E19,"Vencido",IF(E19-TODAY()&lt;=5,"Vence em Breve","A Vencer")))</f>
        <v/>
      </c>
      <c r="H19">
        <f>IF(E19="","",E19-TODAY())</f>
        <v/>
      </c>
    </row>
    <row r="20">
      <c r="A20" s="2" t="n"/>
      <c r="B20" s="2" t="n"/>
      <c r="C20" s="2" t="n"/>
      <c r="D20" s="2" t="n"/>
      <c r="E20" s="2" t="n"/>
      <c r="F20" s="2" t="n"/>
      <c r="G20">
        <f>IF(F20="","",IF(TODAY()&gt;E20,"Vencido",IF(E20-TODAY()&lt;=5,"Vence em Breve","A Vencer")))</f>
        <v/>
      </c>
      <c r="H20">
        <f>IF(E20="","",E20-TODAY())</f>
        <v/>
      </c>
    </row>
    <row r="21">
      <c r="A21" s="2" t="n"/>
      <c r="B21" s="2" t="n"/>
      <c r="C21" s="2" t="n"/>
      <c r="D21" s="2" t="n"/>
      <c r="E21" s="2" t="n"/>
      <c r="F21" s="2" t="n"/>
      <c r="G21">
        <f>IF(F21="","",IF(TODAY()&gt;E21,"Vencido",IF(E21-TODAY()&lt;=5,"Vence em Breve","A Vencer")))</f>
        <v/>
      </c>
      <c r="H21">
        <f>IF(E21="","",E21-TODAY())</f>
        <v/>
      </c>
    </row>
    <row r="22">
      <c r="A22" s="2" t="n"/>
      <c r="B22" s="2" t="n"/>
      <c r="C22" s="2" t="n"/>
      <c r="D22" s="2" t="n"/>
      <c r="E22" s="2" t="n"/>
      <c r="F22" s="2" t="n"/>
      <c r="G22">
        <f>IF(F22="","",IF(TODAY()&gt;E22,"Vencido",IF(E22-TODAY()&lt;=5,"Vence em Breve","A Vencer")))</f>
        <v/>
      </c>
      <c r="H22">
        <f>IF(E22="","",E22-TODAY())</f>
        <v/>
      </c>
    </row>
    <row r="23">
      <c r="A23" s="2" t="n"/>
      <c r="B23" s="2" t="n"/>
      <c r="C23" s="2" t="n"/>
      <c r="D23" s="2" t="n"/>
      <c r="E23" s="2" t="n"/>
      <c r="F23" s="2" t="n"/>
      <c r="G23">
        <f>IF(F23="","",IF(TODAY()&gt;E23,"Vencido",IF(E23-TODAY()&lt;=5,"Vence em Breve","A Vencer")))</f>
        <v/>
      </c>
      <c r="H23">
        <f>IF(E23="","",E23-TODAY())</f>
        <v/>
      </c>
    </row>
    <row r="24">
      <c r="A24" s="2" t="n"/>
      <c r="B24" s="2" t="n"/>
      <c r="C24" s="2" t="n"/>
      <c r="D24" s="2" t="n"/>
      <c r="E24" s="2" t="n"/>
      <c r="F24" s="2" t="n"/>
      <c r="G24">
        <f>IF(F24="","",IF(TODAY()&gt;E24,"Vencido",IF(E24-TODAY()&lt;=5,"Vence em Breve","A Vencer")))</f>
        <v/>
      </c>
      <c r="H24">
        <f>IF(E24="","",E24-TODAY())</f>
        <v/>
      </c>
    </row>
    <row r="25">
      <c r="A25" s="2" t="n"/>
      <c r="B25" s="2" t="n"/>
      <c r="C25" s="2" t="n"/>
      <c r="D25" s="2" t="n"/>
      <c r="E25" s="2" t="n"/>
      <c r="F25" s="2" t="n"/>
      <c r="G25">
        <f>IF(F25="","",IF(TODAY()&gt;E25,"Vencido",IF(E25-TODAY()&lt;=5,"Vence em Breve","A Vencer")))</f>
        <v/>
      </c>
      <c r="H25">
        <f>IF(E25="","",E25-TODAY())</f>
        <v/>
      </c>
    </row>
    <row r="26">
      <c r="A26" s="2" t="n"/>
      <c r="B26" s="2" t="n"/>
      <c r="C26" s="2" t="n"/>
      <c r="D26" s="2" t="n"/>
      <c r="E26" s="2" t="n"/>
      <c r="F26" s="2" t="n"/>
      <c r="G26">
        <f>IF(F26="","",IF(TODAY()&gt;E26,"Vencido",IF(E26-TODAY()&lt;=5,"Vence em Breve","A Vencer")))</f>
        <v/>
      </c>
      <c r="H26">
        <f>IF(E26="","",E26-TODAY())</f>
        <v/>
      </c>
    </row>
    <row r="27">
      <c r="A27" s="2" t="n"/>
      <c r="B27" s="2" t="n"/>
      <c r="C27" s="2" t="n"/>
      <c r="D27" s="2" t="n"/>
      <c r="E27" s="2" t="n"/>
      <c r="F27" s="2" t="n"/>
      <c r="G27">
        <f>IF(F27="","",IF(TODAY()&gt;E27,"Vencido",IF(E27-TODAY()&lt;=5,"Vence em Breve","A Vencer")))</f>
        <v/>
      </c>
      <c r="H27">
        <f>IF(E27="","",E27-TODAY())</f>
        <v/>
      </c>
    </row>
    <row r="28">
      <c r="A28" s="2" t="n"/>
      <c r="B28" s="2" t="n"/>
      <c r="C28" s="2" t="n"/>
      <c r="D28" s="2" t="n"/>
      <c r="E28" s="2" t="n"/>
      <c r="F28" s="2" t="n"/>
      <c r="G28">
        <f>IF(F28="","",IF(TODAY()&gt;E28,"Vencido",IF(E28-TODAY()&lt;=5,"Vence em Breve","A Vencer")))</f>
        <v/>
      </c>
      <c r="H28">
        <f>IF(E28="","",E28-TODAY())</f>
        <v/>
      </c>
    </row>
    <row r="29">
      <c r="A29" s="2" t="n"/>
      <c r="B29" s="2" t="n"/>
      <c r="C29" s="2" t="n"/>
      <c r="D29" s="2" t="n"/>
      <c r="E29" s="2" t="n"/>
      <c r="F29" s="2" t="n"/>
      <c r="G29">
        <f>IF(F29="","",IF(TODAY()&gt;E29,"Vencido",IF(E29-TODAY()&lt;=5,"Vence em Breve","A Vencer")))</f>
        <v/>
      </c>
      <c r="H29">
        <f>IF(E29="","",E29-TODAY())</f>
        <v/>
      </c>
    </row>
    <row r="30">
      <c r="A30" s="2" t="n"/>
      <c r="B30" s="2" t="n"/>
      <c r="C30" s="2" t="n"/>
      <c r="D30" s="2" t="n"/>
      <c r="E30" s="2" t="n"/>
      <c r="F30" s="2" t="n"/>
      <c r="G30">
        <f>IF(F30="","",IF(TODAY()&gt;E30,"Vencido",IF(E30-TODAY()&lt;=5,"Vence em Breve","A Vencer")))</f>
        <v/>
      </c>
      <c r="H30">
        <f>IF(E30="","",E30-TODAY())</f>
        <v/>
      </c>
    </row>
    <row r="31">
      <c r="A31" s="2" t="n"/>
      <c r="B31" s="2" t="n"/>
      <c r="C31" s="2" t="n"/>
      <c r="D31" s="2" t="n"/>
      <c r="E31" s="2" t="n"/>
      <c r="F31" s="2" t="n"/>
      <c r="G31">
        <f>IF(F31="","",IF(TODAY()&gt;E31,"Vencido",IF(E31-TODAY()&lt;=5,"Vence em Breve","A Vencer")))</f>
        <v/>
      </c>
      <c r="H31">
        <f>IF(E31="","",E31-TODAY())</f>
        <v/>
      </c>
    </row>
    <row r="32">
      <c r="A32" s="2" t="n"/>
      <c r="B32" s="2" t="n"/>
      <c r="C32" s="2" t="n"/>
      <c r="D32" s="2" t="n"/>
      <c r="E32" s="2" t="n"/>
      <c r="F32" s="2" t="n"/>
      <c r="G32">
        <f>IF(F32="","",IF(TODAY()&gt;E32,"Vencido",IF(E32-TODAY()&lt;=5,"Vence em Breve","A Vencer")))</f>
        <v/>
      </c>
      <c r="H32">
        <f>IF(E32="","",E32-TODAY())</f>
        <v/>
      </c>
    </row>
    <row r="33">
      <c r="A33" s="2" t="n"/>
      <c r="B33" s="2" t="n"/>
      <c r="C33" s="2" t="n"/>
      <c r="D33" s="2" t="n"/>
      <c r="E33" s="2" t="n"/>
      <c r="F33" s="2" t="n"/>
      <c r="G33">
        <f>IF(F33="","",IF(TODAY()&gt;E33,"Vencido",IF(E33-TODAY()&lt;=5,"Vence em Breve","A Vencer")))</f>
        <v/>
      </c>
      <c r="H33">
        <f>IF(E33="","",E33-TODAY())</f>
        <v/>
      </c>
    </row>
    <row r="34">
      <c r="A34" s="2" t="n"/>
      <c r="B34" s="2" t="n"/>
      <c r="C34" s="2" t="n"/>
      <c r="D34" s="2" t="n"/>
      <c r="E34" s="2" t="n"/>
      <c r="F34" s="2" t="n"/>
      <c r="G34">
        <f>IF(F34="","",IF(TODAY()&gt;E34,"Vencido",IF(E34-TODAY()&lt;=5,"Vence em Breve","A Vencer")))</f>
        <v/>
      </c>
      <c r="H34">
        <f>IF(E34="","",E34-TODAY())</f>
        <v/>
      </c>
    </row>
    <row r="35">
      <c r="A35" s="2" t="n"/>
      <c r="B35" s="2" t="n"/>
      <c r="C35" s="2" t="n"/>
      <c r="D35" s="2" t="n"/>
      <c r="E35" s="2" t="n"/>
      <c r="F35" s="2" t="n"/>
      <c r="G35">
        <f>IF(F35="","",IF(TODAY()&gt;E35,"Vencido",IF(E35-TODAY()&lt;=5,"Vence em Breve","A Vencer")))</f>
        <v/>
      </c>
      <c r="H35">
        <f>IF(E35="","",E35-TODAY())</f>
        <v/>
      </c>
    </row>
    <row r="36">
      <c r="A36" s="2" t="n"/>
      <c r="B36" s="2" t="n"/>
      <c r="C36" s="2" t="n"/>
      <c r="D36" s="2" t="n"/>
      <c r="E36" s="2" t="n"/>
      <c r="F36" s="2" t="n"/>
      <c r="G36">
        <f>IF(F36="","",IF(TODAY()&gt;E36,"Vencido",IF(E36-TODAY()&lt;=5,"Vence em Breve","A Vencer")))</f>
        <v/>
      </c>
      <c r="H36">
        <f>IF(E36="","",E36-TODAY())</f>
        <v/>
      </c>
    </row>
    <row r="37">
      <c r="A37" s="2" t="n"/>
      <c r="B37" s="2" t="n"/>
      <c r="C37" s="2" t="n"/>
      <c r="D37" s="2" t="n"/>
      <c r="E37" s="2" t="n"/>
      <c r="F37" s="2" t="n"/>
      <c r="G37">
        <f>IF(F37="","",IF(TODAY()&gt;E37,"Vencido",IF(E37-TODAY()&lt;=5,"Vence em Breve","A Vencer")))</f>
        <v/>
      </c>
      <c r="H37">
        <f>IF(E37="","",E37-TODAY())</f>
        <v/>
      </c>
    </row>
    <row r="38">
      <c r="A38" s="2" t="n"/>
      <c r="B38" s="2" t="n"/>
      <c r="C38" s="2" t="n"/>
      <c r="D38" s="2" t="n"/>
      <c r="E38" s="2" t="n"/>
      <c r="F38" s="2" t="n"/>
      <c r="G38">
        <f>IF(F38="","",IF(TODAY()&gt;E38,"Vencido",IF(E38-TODAY()&lt;=5,"Vence em Breve","A Vencer")))</f>
        <v/>
      </c>
      <c r="H38">
        <f>IF(E38="","",E38-TODAY())</f>
        <v/>
      </c>
    </row>
    <row r="39">
      <c r="A39" s="2" t="n"/>
      <c r="B39" s="2" t="n"/>
      <c r="C39" s="2" t="n"/>
      <c r="D39" s="2" t="n"/>
      <c r="E39" s="2" t="n"/>
      <c r="F39" s="2" t="n"/>
      <c r="G39">
        <f>IF(F39="","",IF(TODAY()&gt;E39,"Vencido",IF(E39-TODAY()&lt;=5,"Vence em Breve","A Vencer")))</f>
        <v/>
      </c>
      <c r="H39">
        <f>IF(E39="","",E39-TODAY())</f>
        <v/>
      </c>
    </row>
    <row r="40">
      <c r="A40" s="2" t="n"/>
      <c r="B40" s="2" t="n"/>
      <c r="C40" s="2" t="n"/>
      <c r="D40" s="2" t="n"/>
      <c r="E40" s="2" t="n"/>
      <c r="F40" s="2" t="n"/>
      <c r="G40">
        <f>IF(F40="","",IF(TODAY()&gt;E40,"Vencido",IF(E40-TODAY()&lt;=5,"Vence em Breve","A Vencer")))</f>
        <v/>
      </c>
      <c r="H40">
        <f>IF(E40="","",E40-TODAY())</f>
        <v/>
      </c>
    </row>
    <row r="41">
      <c r="A41" s="2" t="n"/>
      <c r="B41" s="2" t="n"/>
      <c r="C41" s="2" t="n"/>
      <c r="D41" s="2" t="n"/>
      <c r="E41" s="2" t="n"/>
      <c r="F41" s="2" t="n"/>
      <c r="G41">
        <f>IF(F41="","",IF(TODAY()&gt;E41,"Vencido",IF(E41-TODAY()&lt;=5,"Vence em Breve","A Vencer")))</f>
        <v/>
      </c>
      <c r="H41">
        <f>IF(E41="","",E41-TODAY())</f>
        <v/>
      </c>
    </row>
    <row r="42">
      <c r="A42" s="2" t="n"/>
      <c r="B42" s="2" t="n"/>
      <c r="C42" s="2" t="n"/>
      <c r="D42" s="2" t="n"/>
      <c r="E42" s="2" t="n"/>
      <c r="F42" s="2" t="n"/>
      <c r="G42">
        <f>IF(F42="","",IF(TODAY()&gt;E42,"Vencido",IF(E42-TODAY()&lt;=5,"Vence em Breve","A Vencer")))</f>
        <v/>
      </c>
      <c r="H42">
        <f>IF(E42="","",E42-TODAY())</f>
        <v/>
      </c>
    </row>
    <row r="43">
      <c r="A43" s="2" t="n"/>
      <c r="B43" s="2" t="n"/>
      <c r="C43" s="2" t="n"/>
      <c r="D43" s="2" t="n"/>
      <c r="E43" s="2" t="n"/>
      <c r="F43" s="2" t="n"/>
      <c r="G43">
        <f>IF(F43="","",IF(TODAY()&gt;E43,"Vencido",IF(E43-TODAY()&lt;=5,"Vence em Breve","A Vencer")))</f>
        <v/>
      </c>
      <c r="H43">
        <f>IF(E43="","",E43-TODAY())</f>
        <v/>
      </c>
    </row>
    <row r="44">
      <c r="A44" s="2" t="n"/>
      <c r="B44" s="2" t="n"/>
      <c r="C44" s="2" t="n"/>
      <c r="D44" s="2" t="n"/>
      <c r="E44" s="2" t="n"/>
      <c r="F44" s="2" t="n"/>
      <c r="G44">
        <f>IF(F44="","",IF(TODAY()&gt;E44,"Vencido",IF(E44-TODAY()&lt;=5,"Vence em Breve","A Vencer")))</f>
        <v/>
      </c>
      <c r="H44">
        <f>IF(E44="","",E44-TODAY())</f>
        <v/>
      </c>
    </row>
    <row r="45">
      <c r="A45" s="2" t="n"/>
      <c r="B45" s="2" t="n"/>
      <c r="C45" s="2" t="n"/>
      <c r="D45" s="2" t="n"/>
      <c r="E45" s="2" t="n"/>
      <c r="F45" s="2" t="n"/>
      <c r="G45">
        <f>IF(F45="","",IF(TODAY()&gt;E45,"Vencido",IF(E45-TODAY()&lt;=5,"Vence em Breve","A Vencer")))</f>
        <v/>
      </c>
      <c r="H45">
        <f>IF(E45="","",E45-TODAY())</f>
        <v/>
      </c>
    </row>
    <row r="46">
      <c r="A46" s="2" t="n"/>
      <c r="B46" s="2" t="n"/>
      <c r="C46" s="2" t="n"/>
      <c r="D46" s="2" t="n"/>
      <c r="E46" s="2" t="n"/>
      <c r="F46" s="2" t="n"/>
      <c r="G46">
        <f>IF(F46="","",IF(TODAY()&gt;E46,"Vencido",IF(E46-TODAY()&lt;=5,"Vence em Breve","A Vencer")))</f>
        <v/>
      </c>
      <c r="H46">
        <f>IF(E46="","",E46-TODAY())</f>
        <v/>
      </c>
    </row>
    <row r="47">
      <c r="A47" s="2" t="n"/>
      <c r="B47" s="2" t="n"/>
      <c r="C47" s="2" t="n"/>
      <c r="D47" s="2" t="n"/>
      <c r="E47" s="2" t="n"/>
      <c r="F47" s="2" t="n"/>
      <c r="G47">
        <f>IF(F47="","",IF(TODAY()&gt;E47,"Vencido",IF(E47-TODAY()&lt;=5,"Vence em Breve","A Vencer")))</f>
        <v/>
      </c>
      <c r="H47">
        <f>IF(E47="","",E47-TODAY())</f>
        <v/>
      </c>
    </row>
    <row r="48">
      <c r="A48" s="2" t="n"/>
      <c r="B48" s="2" t="n"/>
      <c r="C48" s="2" t="n"/>
      <c r="D48" s="2" t="n"/>
      <c r="E48" s="2" t="n"/>
      <c r="F48" s="2" t="n"/>
      <c r="G48">
        <f>IF(F48="","",IF(TODAY()&gt;E48,"Vencido",IF(E48-TODAY()&lt;=5,"Vence em Breve","A Vencer")))</f>
        <v/>
      </c>
      <c r="H48">
        <f>IF(E48="","",E48-TODAY())</f>
        <v/>
      </c>
    </row>
    <row r="49">
      <c r="A49" s="2" t="n"/>
      <c r="B49" s="2" t="n"/>
      <c r="C49" s="2" t="n"/>
      <c r="D49" s="2" t="n"/>
      <c r="E49" s="2" t="n"/>
      <c r="F49" s="2" t="n"/>
      <c r="G49">
        <f>IF(F49="","",IF(TODAY()&gt;E49,"Vencido",IF(E49-TODAY()&lt;=5,"Vence em Breve","A Vencer")))</f>
        <v/>
      </c>
      <c r="H49">
        <f>IF(E49="","",E49-TODAY())</f>
        <v/>
      </c>
    </row>
    <row r="50">
      <c r="A50" s="2" t="n"/>
      <c r="B50" s="2" t="n"/>
      <c r="C50" s="2" t="n"/>
      <c r="D50" s="2" t="n"/>
      <c r="E50" s="2" t="n"/>
      <c r="F50" s="2" t="n"/>
      <c r="G50">
        <f>IF(F50="","",IF(TODAY()&gt;E50,"Vencido",IF(E50-TODAY()&lt;=5,"Vence em Breve","A Vencer")))</f>
        <v/>
      </c>
      <c r="H50">
        <f>IF(E50="","",E50-TODAY())</f>
        <v/>
      </c>
    </row>
    <row r="51">
      <c r="A51" s="2" t="n"/>
      <c r="B51" s="2" t="n"/>
      <c r="C51" s="2" t="n"/>
      <c r="D51" s="2" t="n"/>
      <c r="E51" s="2" t="n"/>
      <c r="F51" s="2" t="n"/>
      <c r="G51">
        <f>IF(F51="","",IF(TODAY()&gt;E51,"Vencido",IF(E51-TODAY()&lt;=5,"Vence em Breve","A Vencer")))</f>
        <v/>
      </c>
      <c r="H51">
        <f>IF(E51="","",E51-TODAY())</f>
        <v/>
      </c>
    </row>
    <row r="52">
      <c r="A52" s="2" t="n"/>
      <c r="B52" s="2" t="n"/>
      <c r="C52" s="2" t="n"/>
      <c r="D52" s="2" t="n"/>
      <c r="E52" s="2" t="n"/>
      <c r="F52" s="2" t="n"/>
      <c r="G52">
        <f>IF(F52="","",IF(TODAY()&gt;E52,"Vencido",IF(E52-TODAY()&lt;=5,"Vence em Breve","A Vencer")))</f>
        <v/>
      </c>
      <c r="H52">
        <f>IF(E52="","",E52-TODAY())</f>
        <v/>
      </c>
    </row>
    <row r="53">
      <c r="A53" s="2" t="n"/>
      <c r="B53" s="2" t="n"/>
      <c r="C53" s="2" t="n"/>
      <c r="D53" s="2" t="n"/>
      <c r="E53" s="2" t="n"/>
      <c r="F53" s="2" t="n"/>
      <c r="G53">
        <f>IF(F53="","",IF(TODAY()&gt;E53,"Vencido",IF(E53-TODAY()&lt;=5,"Vence em Breve","A Vencer")))</f>
        <v/>
      </c>
      <c r="H53">
        <f>IF(E53="","",E53-TODAY())</f>
        <v/>
      </c>
    </row>
    <row r="54">
      <c r="A54" s="2" t="n"/>
      <c r="B54" s="2" t="n"/>
      <c r="C54" s="2" t="n"/>
      <c r="D54" s="2" t="n"/>
      <c r="E54" s="2" t="n"/>
      <c r="F54" s="2" t="n"/>
      <c r="G54">
        <f>IF(F54="","",IF(TODAY()&gt;E54,"Vencido",IF(E54-TODAY()&lt;=5,"Vence em Breve","A Vencer")))</f>
        <v/>
      </c>
      <c r="H54">
        <f>IF(E54="","",E54-TODAY())</f>
        <v/>
      </c>
    </row>
    <row r="55">
      <c r="A55" s="2" t="n"/>
      <c r="B55" s="2" t="n"/>
      <c r="C55" s="2" t="n"/>
      <c r="D55" s="2" t="n"/>
      <c r="E55" s="2" t="n"/>
      <c r="F55" s="2" t="n"/>
      <c r="G55">
        <f>IF(F55="","",IF(TODAY()&gt;E55,"Vencido",IF(E55-TODAY()&lt;=5,"Vence em Breve","A Vencer")))</f>
        <v/>
      </c>
      <c r="H55">
        <f>IF(E55="","",E55-TODAY())</f>
        <v/>
      </c>
    </row>
    <row r="56">
      <c r="A56" s="2" t="n"/>
      <c r="B56" s="2" t="n"/>
      <c r="C56" s="2" t="n"/>
      <c r="D56" s="2" t="n"/>
      <c r="E56" s="2" t="n"/>
      <c r="F56" s="2" t="n"/>
      <c r="G56">
        <f>IF(F56="","",IF(TODAY()&gt;E56,"Vencido",IF(E56-TODAY()&lt;=5,"Vence em Breve","A Vencer")))</f>
        <v/>
      </c>
      <c r="H56">
        <f>IF(E56="","",E56-TODAY())</f>
        <v/>
      </c>
    </row>
    <row r="57">
      <c r="A57" s="2" t="n"/>
      <c r="B57" s="2" t="n"/>
      <c r="C57" s="2" t="n"/>
      <c r="D57" s="2" t="n"/>
      <c r="E57" s="2" t="n"/>
      <c r="F57" s="2" t="n"/>
      <c r="G57">
        <f>IF(F57="","",IF(TODAY()&gt;E57,"Vencido",IF(E57-TODAY()&lt;=5,"Vence em Breve","A Vencer")))</f>
        <v/>
      </c>
      <c r="H57">
        <f>IF(E57="","",E57-TODAY())</f>
        <v/>
      </c>
    </row>
    <row r="58">
      <c r="A58" s="2" t="n"/>
      <c r="B58" s="2" t="n"/>
      <c r="C58" s="2" t="n"/>
      <c r="D58" s="2" t="n"/>
      <c r="E58" s="2" t="n"/>
      <c r="F58" s="2" t="n"/>
      <c r="G58">
        <f>IF(F58="","",IF(TODAY()&gt;E58,"Vencido",IF(E58-TODAY()&lt;=5,"Vence em Breve","A Vencer")))</f>
        <v/>
      </c>
      <c r="H58">
        <f>IF(E58="","",E58-TODAY())</f>
        <v/>
      </c>
    </row>
    <row r="59">
      <c r="A59" s="2" t="n"/>
      <c r="B59" s="2" t="n"/>
      <c r="C59" s="2" t="n"/>
      <c r="D59" s="2" t="n"/>
      <c r="E59" s="2" t="n"/>
      <c r="F59" s="2" t="n"/>
      <c r="G59">
        <f>IF(F59="","",IF(TODAY()&gt;E59,"Vencido",IF(E59-TODAY()&lt;=5,"Vence em Breve","A Vencer")))</f>
        <v/>
      </c>
      <c r="H59">
        <f>IF(E59="","",E59-TODAY())</f>
        <v/>
      </c>
    </row>
    <row r="60">
      <c r="A60" s="2" t="n"/>
      <c r="B60" s="2" t="n"/>
      <c r="C60" s="2" t="n"/>
      <c r="D60" s="2" t="n"/>
      <c r="E60" s="2" t="n"/>
      <c r="F60" s="2" t="n"/>
      <c r="G60">
        <f>IF(F60="","",IF(TODAY()&gt;E60,"Vencido",IF(E60-TODAY()&lt;=5,"Vence em Breve","A Vencer")))</f>
        <v/>
      </c>
      <c r="H60">
        <f>IF(E60="","",E60-TODAY())</f>
        <v/>
      </c>
    </row>
    <row r="61">
      <c r="A61" s="2" t="n"/>
      <c r="B61" s="2" t="n"/>
      <c r="C61" s="2" t="n"/>
      <c r="D61" s="2" t="n"/>
      <c r="E61" s="2" t="n"/>
      <c r="F61" s="2" t="n"/>
      <c r="G61">
        <f>IF(F61="","",IF(TODAY()&gt;E61,"Vencido",IF(E61-TODAY()&lt;=5,"Vence em Breve","A Vencer")))</f>
        <v/>
      </c>
      <c r="H61">
        <f>IF(E61="","",E61-TODAY())</f>
        <v/>
      </c>
    </row>
    <row r="62">
      <c r="A62" s="2" t="n"/>
      <c r="B62" s="2" t="n"/>
      <c r="C62" s="2" t="n"/>
      <c r="D62" s="2" t="n"/>
      <c r="E62" s="2" t="n"/>
      <c r="F62" s="2" t="n"/>
      <c r="G62">
        <f>IF(F62="","",IF(TODAY()&gt;E62,"Vencido",IF(E62-TODAY()&lt;=5,"Vence em Breve","A Vencer")))</f>
        <v/>
      </c>
      <c r="H62">
        <f>IF(E62="","",E62-TODAY())</f>
        <v/>
      </c>
    </row>
    <row r="63">
      <c r="A63" s="2" t="n"/>
      <c r="B63" s="2" t="n"/>
      <c r="C63" s="2" t="n"/>
      <c r="D63" s="2" t="n"/>
      <c r="E63" s="2" t="n"/>
      <c r="F63" s="2" t="n"/>
      <c r="G63">
        <f>IF(F63="","",IF(TODAY()&gt;E63,"Vencido",IF(E63-TODAY()&lt;=5,"Vence em Breve","A Vencer")))</f>
        <v/>
      </c>
      <c r="H63">
        <f>IF(E63="","",E63-TODAY())</f>
        <v/>
      </c>
    </row>
    <row r="64">
      <c r="A64" s="2" t="n"/>
      <c r="B64" s="2" t="n"/>
      <c r="C64" s="2" t="n"/>
      <c r="D64" s="2" t="n"/>
      <c r="E64" s="2" t="n"/>
      <c r="F64" s="2" t="n"/>
      <c r="G64">
        <f>IF(F64="","",IF(TODAY()&gt;E64,"Vencido",IF(E64-TODAY()&lt;=5,"Vence em Breve","A Vencer")))</f>
        <v/>
      </c>
      <c r="H64">
        <f>IF(E64="","",E64-TODAY())</f>
        <v/>
      </c>
    </row>
    <row r="65">
      <c r="A65" s="2" t="n"/>
      <c r="B65" s="2" t="n"/>
      <c r="C65" s="2" t="n"/>
      <c r="D65" s="2" t="n"/>
      <c r="E65" s="2" t="n"/>
      <c r="F65" s="2" t="n"/>
      <c r="G65">
        <f>IF(F65="","",IF(TODAY()&gt;E65,"Vencido",IF(E65-TODAY()&lt;=5,"Vence em Breve","A Vencer")))</f>
        <v/>
      </c>
      <c r="H65">
        <f>IF(E65="","",E65-TODAY())</f>
        <v/>
      </c>
    </row>
    <row r="66">
      <c r="A66" s="2" t="n"/>
      <c r="B66" s="2" t="n"/>
      <c r="C66" s="2" t="n"/>
      <c r="D66" s="2" t="n"/>
      <c r="E66" s="2" t="n"/>
      <c r="F66" s="2" t="n"/>
      <c r="G66">
        <f>IF(F66="","",IF(TODAY()&gt;E66,"Vencido",IF(E66-TODAY()&lt;=5,"Vence em Breve","A Vencer")))</f>
        <v/>
      </c>
      <c r="H66">
        <f>IF(E66="","",E66-TODAY())</f>
        <v/>
      </c>
    </row>
    <row r="67">
      <c r="A67" s="2" t="n"/>
      <c r="B67" s="2" t="n"/>
      <c r="C67" s="2" t="n"/>
      <c r="D67" s="2" t="n"/>
      <c r="E67" s="2" t="n"/>
      <c r="F67" s="2" t="n"/>
      <c r="G67">
        <f>IF(F67="","",IF(TODAY()&gt;E67,"Vencido",IF(E67-TODAY()&lt;=5,"Vence em Breve","A Vencer")))</f>
        <v/>
      </c>
      <c r="H67">
        <f>IF(E67="","",E67-TODAY())</f>
        <v/>
      </c>
    </row>
    <row r="68">
      <c r="A68" s="2" t="n"/>
      <c r="B68" s="2" t="n"/>
      <c r="C68" s="2" t="n"/>
      <c r="D68" s="2" t="n"/>
      <c r="E68" s="2" t="n"/>
      <c r="F68" s="2" t="n"/>
      <c r="G68">
        <f>IF(F68="","",IF(TODAY()&gt;E68,"Vencido",IF(E68-TODAY()&lt;=5,"Vence em Breve","A Vencer")))</f>
        <v/>
      </c>
      <c r="H68">
        <f>IF(E68="","",E68-TODAY())</f>
        <v/>
      </c>
    </row>
    <row r="69">
      <c r="A69" s="2" t="n"/>
      <c r="B69" s="2" t="n"/>
      <c r="C69" s="2" t="n"/>
      <c r="D69" s="2" t="n"/>
      <c r="E69" s="2" t="n"/>
      <c r="F69" s="2" t="n"/>
      <c r="G69">
        <f>IF(F69="","",IF(TODAY()&gt;E69,"Vencido",IF(E69-TODAY()&lt;=5,"Vence em Breve","A Vencer")))</f>
        <v/>
      </c>
      <c r="H69">
        <f>IF(E69="","",E69-TODAY())</f>
        <v/>
      </c>
    </row>
    <row r="70">
      <c r="A70" s="2" t="n"/>
      <c r="B70" s="2" t="n"/>
      <c r="C70" s="2" t="n"/>
      <c r="D70" s="2" t="n"/>
      <c r="E70" s="2" t="n"/>
      <c r="F70" s="2" t="n"/>
      <c r="G70">
        <f>IF(F70="","",IF(TODAY()&gt;E70,"Vencido",IF(E70-TODAY()&lt;=5,"Vence em Breve","A Vencer")))</f>
        <v/>
      </c>
      <c r="H70">
        <f>IF(E70="","",E70-TODAY())</f>
        <v/>
      </c>
    </row>
    <row r="71">
      <c r="A71" s="2" t="n"/>
      <c r="B71" s="2" t="n"/>
      <c r="C71" s="2" t="n"/>
      <c r="D71" s="2" t="n"/>
      <c r="E71" s="2" t="n"/>
      <c r="F71" s="2" t="n"/>
      <c r="G71">
        <f>IF(F71="","",IF(TODAY()&gt;E71,"Vencido",IF(E71-TODAY()&lt;=5,"Vence em Breve","A Vencer")))</f>
        <v/>
      </c>
      <c r="H71">
        <f>IF(E71="","",E71-TODAY())</f>
        <v/>
      </c>
    </row>
    <row r="72">
      <c r="A72" s="2" t="n"/>
      <c r="B72" s="2" t="n"/>
      <c r="C72" s="2" t="n"/>
      <c r="D72" s="2" t="n"/>
      <c r="E72" s="2" t="n"/>
      <c r="F72" s="2" t="n"/>
      <c r="G72">
        <f>IF(F72="","",IF(TODAY()&gt;E72,"Vencido",IF(E72-TODAY()&lt;=5,"Vence em Breve","A Vencer")))</f>
        <v/>
      </c>
      <c r="H72">
        <f>IF(E72="","",E72-TODAY())</f>
        <v/>
      </c>
    </row>
    <row r="73">
      <c r="A73" s="2" t="n"/>
      <c r="B73" s="2" t="n"/>
      <c r="C73" s="2" t="n"/>
      <c r="D73" s="2" t="n"/>
      <c r="E73" s="2" t="n"/>
      <c r="F73" s="2" t="n"/>
      <c r="G73">
        <f>IF(F73="","",IF(TODAY()&gt;E73,"Vencido",IF(E73-TODAY()&lt;=5,"Vence em Breve","A Vencer")))</f>
        <v/>
      </c>
      <c r="H73">
        <f>IF(E73="","",E73-TODAY())</f>
        <v/>
      </c>
    </row>
    <row r="74">
      <c r="A74" s="2" t="n"/>
      <c r="B74" s="2" t="n"/>
      <c r="C74" s="2" t="n"/>
      <c r="D74" s="2" t="n"/>
      <c r="E74" s="2" t="n"/>
      <c r="F74" s="2" t="n"/>
      <c r="G74">
        <f>IF(F74="","",IF(TODAY()&gt;E74,"Vencido",IF(E74-TODAY()&lt;=5,"Vence em Breve","A Vencer")))</f>
        <v/>
      </c>
      <c r="H74">
        <f>IF(E74="","",E74-TODAY())</f>
        <v/>
      </c>
    </row>
    <row r="75">
      <c r="A75" s="2" t="n"/>
      <c r="B75" s="2" t="n"/>
      <c r="C75" s="2" t="n"/>
      <c r="D75" s="2" t="n"/>
      <c r="E75" s="2" t="n"/>
      <c r="F75" s="2" t="n"/>
      <c r="G75">
        <f>IF(F75="","",IF(TODAY()&gt;E75,"Vencido",IF(E75-TODAY()&lt;=5,"Vence em Breve","A Vencer")))</f>
        <v/>
      </c>
      <c r="H75">
        <f>IF(E75="","",E75-TODAY())</f>
        <v/>
      </c>
    </row>
    <row r="76">
      <c r="A76" s="2" t="n"/>
      <c r="B76" s="2" t="n"/>
      <c r="C76" s="2" t="n"/>
      <c r="D76" s="2" t="n"/>
      <c r="E76" s="2" t="n"/>
      <c r="F76" s="2" t="n"/>
      <c r="G76">
        <f>IF(F76="","",IF(TODAY()&gt;E76,"Vencido",IF(E76-TODAY()&lt;=5,"Vence em Breve","A Vencer")))</f>
        <v/>
      </c>
      <c r="H76">
        <f>IF(E76="","",E76-TODAY())</f>
        <v/>
      </c>
    </row>
    <row r="77">
      <c r="A77" s="2" t="n"/>
      <c r="B77" s="2" t="n"/>
      <c r="C77" s="2" t="n"/>
      <c r="D77" s="2" t="n"/>
      <c r="E77" s="2" t="n"/>
      <c r="F77" s="2" t="n"/>
      <c r="G77">
        <f>IF(F77="","",IF(TODAY()&gt;E77,"Vencido",IF(E77-TODAY()&lt;=5,"Vence em Breve","A Vencer")))</f>
        <v/>
      </c>
      <c r="H77">
        <f>IF(E77="","",E77-TODAY())</f>
        <v/>
      </c>
    </row>
    <row r="78">
      <c r="A78" s="2" t="n"/>
      <c r="B78" s="2" t="n"/>
      <c r="C78" s="2" t="n"/>
      <c r="D78" s="2" t="n"/>
      <c r="E78" s="2" t="n"/>
      <c r="F78" s="2" t="n"/>
      <c r="G78">
        <f>IF(F78="","",IF(TODAY()&gt;E78,"Vencido",IF(E78-TODAY()&lt;=5,"Vence em Breve","A Vencer")))</f>
        <v/>
      </c>
      <c r="H78">
        <f>IF(E78="","",E78-TODAY())</f>
        <v/>
      </c>
    </row>
    <row r="79">
      <c r="A79" s="2" t="n"/>
      <c r="B79" s="2" t="n"/>
      <c r="C79" s="2" t="n"/>
      <c r="D79" s="2" t="n"/>
      <c r="E79" s="2" t="n"/>
      <c r="F79" s="2" t="n"/>
      <c r="G79">
        <f>IF(F79="","",IF(TODAY()&gt;E79,"Vencido",IF(E79-TODAY()&lt;=5,"Vence em Breve","A Vencer")))</f>
        <v/>
      </c>
      <c r="H79">
        <f>IF(E79="","",E79-TODAY())</f>
        <v/>
      </c>
    </row>
    <row r="80">
      <c r="A80" s="2" t="n"/>
      <c r="B80" s="2" t="n"/>
      <c r="C80" s="2" t="n"/>
      <c r="D80" s="2" t="n"/>
      <c r="E80" s="2" t="n"/>
      <c r="F80" s="2" t="n"/>
      <c r="G80">
        <f>IF(F80="","",IF(TODAY()&gt;E80,"Vencido",IF(E80-TODAY()&lt;=5,"Vence em Breve","A Vencer")))</f>
        <v/>
      </c>
      <c r="H80">
        <f>IF(E80="","",E80-TODAY())</f>
        <v/>
      </c>
    </row>
    <row r="81">
      <c r="A81" s="2" t="n"/>
      <c r="B81" s="2" t="n"/>
      <c r="C81" s="2" t="n"/>
      <c r="D81" s="2" t="n"/>
      <c r="E81" s="2" t="n"/>
      <c r="F81" s="2" t="n"/>
      <c r="G81">
        <f>IF(F81="","",IF(TODAY()&gt;E81,"Vencido",IF(E81-TODAY()&lt;=5,"Vence em Breve","A Vencer")))</f>
        <v/>
      </c>
      <c r="H81">
        <f>IF(E81="","",E81-TODAY())</f>
        <v/>
      </c>
    </row>
    <row r="82">
      <c r="A82" s="2" t="n"/>
      <c r="B82" s="2" t="n"/>
      <c r="C82" s="2" t="n"/>
      <c r="D82" s="2" t="n"/>
      <c r="E82" s="2" t="n"/>
      <c r="F82" s="2" t="n"/>
      <c r="G82">
        <f>IF(F82="","",IF(TODAY()&gt;E82,"Vencido",IF(E82-TODAY()&lt;=5,"Vence em Breve","A Vencer")))</f>
        <v/>
      </c>
      <c r="H82">
        <f>IF(E82="","",E82-TODAY())</f>
        <v/>
      </c>
    </row>
    <row r="83">
      <c r="A83" s="2" t="n"/>
      <c r="B83" s="2" t="n"/>
      <c r="C83" s="2" t="n"/>
      <c r="D83" s="2" t="n"/>
      <c r="E83" s="2" t="n"/>
      <c r="F83" s="2" t="n"/>
      <c r="G83">
        <f>IF(F83="","",IF(TODAY()&gt;E83,"Vencido",IF(E83-TODAY()&lt;=5,"Vence em Breve","A Vencer")))</f>
        <v/>
      </c>
      <c r="H83">
        <f>IF(E83="","",E83-TODAY())</f>
        <v/>
      </c>
    </row>
    <row r="84">
      <c r="A84" s="2" t="n"/>
      <c r="B84" s="2" t="n"/>
      <c r="C84" s="2" t="n"/>
      <c r="D84" s="2" t="n"/>
      <c r="E84" s="2" t="n"/>
      <c r="F84" s="2" t="n"/>
      <c r="G84">
        <f>IF(F84="","",IF(TODAY()&gt;E84,"Vencido",IF(E84-TODAY()&lt;=5,"Vence em Breve","A Vencer")))</f>
        <v/>
      </c>
      <c r="H84">
        <f>IF(E84="","",E84-TODAY())</f>
        <v/>
      </c>
    </row>
    <row r="85">
      <c r="A85" s="2" t="n"/>
      <c r="B85" s="2" t="n"/>
      <c r="C85" s="2" t="n"/>
      <c r="D85" s="2" t="n"/>
      <c r="E85" s="2" t="n"/>
      <c r="F85" s="2" t="n"/>
      <c r="G85">
        <f>IF(F85="","",IF(TODAY()&gt;E85,"Vencido",IF(E85-TODAY()&lt;=5,"Vence em Breve","A Vencer")))</f>
        <v/>
      </c>
      <c r="H85">
        <f>IF(E85="","",E85-TODAY())</f>
        <v/>
      </c>
    </row>
    <row r="86">
      <c r="A86" s="2" t="n"/>
      <c r="B86" s="2" t="n"/>
      <c r="C86" s="2" t="n"/>
      <c r="D86" s="2" t="n"/>
      <c r="E86" s="2" t="n"/>
      <c r="F86" s="2" t="n"/>
      <c r="G86">
        <f>IF(F86="","",IF(TODAY()&gt;E86,"Vencido",IF(E86-TODAY()&lt;=5,"Vence em Breve","A Vencer")))</f>
        <v/>
      </c>
      <c r="H86">
        <f>IF(E86="","",E86-TODAY())</f>
        <v/>
      </c>
    </row>
    <row r="87">
      <c r="A87" s="2" t="n"/>
      <c r="B87" s="2" t="n"/>
      <c r="C87" s="2" t="n"/>
      <c r="D87" s="2" t="n"/>
      <c r="E87" s="2" t="n"/>
      <c r="F87" s="2" t="n"/>
      <c r="G87">
        <f>IF(F87="","",IF(TODAY()&gt;E87,"Vencido",IF(E87-TODAY()&lt;=5,"Vence em Breve","A Vencer")))</f>
        <v/>
      </c>
      <c r="H87">
        <f>IF(E87="","",E87-TODAY())</f>
        <v/>
      </c>
    </row>
    <row r="88">
      <c r="A88" s="2" t="n"/>
      <c r="B88" s="2" t="n"/>
      <c r="C88" s="2" t="n"/>
      <c r="D88" s="2" t="n"/>
      <c r="E88" s="2" t="n"/>
      <c r="F88" s="2" t="n"/>
      <c r="G88">
        <f>IF(F88="","",IF(TODAY()&gt;E88,"Vencido",IF(E88-TODAY()&lt;=5,"Vence em Breve","A Vencer")))</f>
        <v/>
      </c>
      <c r="H88">
        <f>IF(E88="","",E88-TODAY())</f>
        <v/>
      </c>
    </row>
    <row r="89">
      <c r="A89" s="2" t="n"/>
      <c r="B89" s="2" t="n"/>
      <c r="C89" s="2" t="n"/>
      <c r="D89" s="2" t="n"/>
      <c r="E89" s="2" t="n"/>
      <c r="F89" s="2" t="n"/>
      <c r="G89">
        <f>IF(F89="","",IF(TODAY()&gt;E89,"Vencido",IF(E89-TODAY()&lt;=5,"Vence em Breve","A Vencer")))</f>
        <v/>
      </c>
      <c r="H89">
        <f>IF(E89="","",E89-TODAY())</f>
        <v/>
      </c>
    </row>
    <row r="90">
      <c r="A90" s="2" t="n"/>
      <c r="B90" s="2" t="n"/>
      <c r="C90" s="2" t="n"/>
      <c r="D90" s="2" t="n"/>
      <c r="E90" s="2" t="n"/>
      <c r="F90" s="2" t="n"/>
      <c r="G90">
        <f>IF(F90="","",IF(TODAY()&gt;E90,"Vencido",IF(E90-TODAY()&lt;=5,"Vence em Breve","A Vencer")))</f>
        <v/>
      </c>
      <c r="H90">
        <f>IF(E90="","",E90-TODAY())</f>
        <v/>
      </c>
    </row>
    <row r="91">
      <c r="A91" s="2" t="n"/>
      <c r="B91" s="2" t="n"/>
      <c r="C91" s="2" t="n"/>
      <c r="D91" s="2" t="n"/>
      <c r="E91" s="2" t="n"/>
      <c r="F91" s="2" t="n"/>
      <c r="G91">
        <f>IF(F91="","",IF(TODAY()&gt;E91,"Vencido",IF(E91-TODAY()&lt;=5,"Vence em Breve","A Vencer")))</f>
        <v/>
      </c>
      <c r="H91">
        <f>IF(E91="","",E91-TODAY())</f>
        <v/>
      </c>
    </row>
    <row r="92">
      <c r="A92" s="2" t="n"/>
      <c r="B92" s="2" t="n"/>
      <c r="C92" s="2" t="n"/>
      <c r="D92" s="2" t="n"/>
      <c r="E92" s="2" t="n"/>
      <c r="F92" s="2" t="n"/>
      <c r="G92">
        <f>IF(F92="","",IF(TODAY()&gt;E92,"Vencido",IF(E92-TODAY()&lt;=5,"Vence em Breve","A Vencer")))</f>
        <v/>
      </c>
      <c r="H92">
        <f>IF(E92="","",E92-TODAY())</f>
        <v/>
      </c>
    </row>
    <row r="93">
      <c r="A93" s="2" t="n"/>
      <c r="B93" s="2" t="n"/>
      <c r="C93" s="2" t="n"/>
      <c r="D93" s="2" t="n"/>
      <c r="E93" s="2" t="n"/>
      <c r="F93" s="2" t="n"/>
      <c r="G93">
        <f>IF(F93="","",IF(TODAY()&gt;E93,"Vencido",IF(E93-TODAY()&lt;=5,"Vence em Breve","A Vencer")))</f>
        <v/>
      </c>
      <c r="H93">
        <f>IF(E93="","",E93-TODAY())</f>
        <v/>
      </c>
    </row>
    <row r="94">
      <c r="A94" s="2" t="n"/>
      <c r="B94" s="2" t="n"/>
      <c r="C94" s="2" t="n"/>
      <c r="D94" s="2" t="n"/>
      <c r="E94" s="2" t="n"/>
      <c r="F94" s="2" t="n"/>
      <c r="G94">
        <f>IF(F94="","",IF(TODAY()&gt;E94,"Vencido",IF(E94-TODAY()&lt;=5,"Vence em Breve","A Vencer")))</f>
        <v/>
      </c>
      <c r="H94">
        <f>IF(E94="","",E94-TODAY())</f>
        <v/>
      </c>
    </row>
    <row r="95">
      <c r="A95" s="2" t="n"/>
      <c r="B95" s="2" t="n"/>
      <c r="C95" s="2" t="n"/>
      <c r="D95" s="2" t="n"/>
      <c r="E95" s="2" t="n"/>
      <c r="F95" s="2" t="n"/>
      <c r="G95">
        <f>IF(F95="","",IF(TODAY()&gt;E95,"Vencido",IF(E95-TODAY()&lt;=5,"Vence em Breve","A Vencer")))</f>
        <v/>
      </c>
      <c r="H95">
        <f>IF(E95="","",E95-TODAY())</f>
        <v/>
      </c>
    </row>
    <row r="96">
      <c r="A96" s="2" t="n"/>
      <c r="B96" s="2" t="n"/>
      <c r="C96" s="2" t="n"/>
      <c r="D96" s="2" t="n"/>
      <c r="E96" s="2" t="n"/>
      <c r="F96" s="2" t="n"/>
      <c r="G96">
        <f>IF(F96="","",IF(TODAY()&gt;E96,"Vencido",IF(E96-TODAY()&lt;=5,"Vence em Breve","A Vencer")))</f>
        <v/>
      </c>
      <c r="H96">
        <f>IF(E96="","",E96-TODAY())</f>
        <v/>
      </c>
    </row>
    <row r="97">
      <c r="A97" s="2" t="n"/>
      <c r="B97" s="2" t="n"/>
      <c r="C97" s="2" t="n"/>
      <c r="D97" s="2" t="n"/>
      <c r="E97" s="2" t="n"/>
      <c r="F97" s="2" t="n"/>
      <c r="G97">
        <f>IF(F97="","",IF(TODAY()&gt;E97,"Vencido",IF(E97-TODAY()&lt;=5,"Vence em Breve","A Vencer")))</f>
        <v/>
      </c>
      <c r="H97">
        <f>IF(E97="","",E97-TODAY())</f>
        <v/>
      </c>
    </row>
    <row r="98">
      <c r="A98" s="2" t="n"/>
      <c r="B98" s="2" t="n"/>
      <c r="C98" s="2" t="n"/>
      <c r="D98" s="2" t="n"/>
      <c r="E98" s="2" t="n"/>
      <c r="F98" s="2" t="n"/>
      <c r="G98">
        <f>IF(F98="","",IF(TODAY()&gt;E98,"Vencido",IF(E98-TODAY()&lt;=5,"Vence em Breve","A Vencer")))</f>
        <v/>
      </c>
      <c r="H98">
        <f>IF(E98="","",E98-TODAY())</f>
        <v/>
      </c>
    </row>
    <row r="99">
      <c r="A99" s="2" t="n"/>
      <c r="B99" s="2" t="n"/>
      <c r="C99" s="2" t="n"/>
      <c r="D99" s="2" t="n"/>
      <c r="E99" s="2" t="n"/>
      <c r="F99" s="2" t="n"/>
      <c r="G99">
        <f>IF(F99="","",IF(TODAY()&gt;E99,"Vencido",IF(E99-TODAY()&lt;=5,"Vence em Breve","A Vencer")))</f>
        <v/>
      </c>
      <c r="H99">
        <f>IF(E99="","",E99-TODAY())</f>
        <v/>
      </c>
    </row>
    <row r="100">
      <c r="A100" s="2" t="n"/>
      <c r="B100" s="2" t="n"/>
      <c r="C100" s="2" t="n"/>
      <c r="D100" s="2" t="n"/>
      <c r="E100" s="2" t="n"/>
      <c r="F100" s="2" t="n"/>
      <c r="G100">
        <f>IF(F100="","",IF(TODAY()&gt;E100,"Vencido",IF(E100-TODAY()&lt;=5,"Vence em Breve","A Vencer")))</f>
        <v/>
      </c>
      <c r="H100">
        <f>IF(E100="","",E100-TODAY())</f>
        <v/>
      </c>
    </row>
    <row r="101">
      <c r="A101" s="2" t="n"/>
      <c r="B101" s="2" t="n"/>
      <c r="C101" s="2" t="n"/>
      <c r="D101" s="2" t="n"/>
      <c r="E101" s="2" t="n"/>
      <c r="F101" s="2" t="n"/>
      <c r="G101">
        <f>IF(F101="","",IF(TODAY()&gt;E101,"Vencido",IF(E101-TODAY()&lt;=5,"Vence em Breve","A Vencer")))</f>
        <v/>
      </c>
      <c r="H101">
        <f>IF(E101="","",E101-TODAY())</f>
        <v/>
      </c>
    </row>
    <row r="102">
      <c r="A102" s="2" t="n"/>
      <c r="B102" s="2" t="n"/>
      <c r="C102" s="2" t="n"/>
      <c r="D102" s="2" t="n"/>
      <c r="E102" s="2" t="n"/>
      <c r="F102" s="2" t="n"/>
      <c r="G102">
        <f>IF(F102="","",IF(TODAY()&gt;E102,"Vencido",IF(E102-TODAY()&lt;=5,"Vence em Breve","A Vencer")))</f>
        <v/>
      </c>
      <c r="H102">
        <f>IF(E102="","",E102-TODAY())</f>
        <v/>
      </c>
    </row>
    <row r="103">
      <c r="A103" s="2" t="n"/>
      <c r="B103" s="2" t="n"/>
      <c r="C103" s="2" t="n"/>
      <c r="D103" s="2" t="n"/>
      <c r="E103" s="2" t="n"/>
      <c r="F103" s="2" t="n"/>
      <c r="G103">
        <f>IF(F103="","",IF(TODAY()&gt;E103,"Vencido",IF(E103-TODAY()&lt;=5,"Vence em Breve","A Vencer")))</f>
        <v/>
      </c>
      <c r="H103">
        <f>IF(E103="","",E103-TODAY())</f>
        <v/>
      </c>
    </row>
    <row r="104">
      <c r="A104" s="2" t="n"/>
      <c r="B104" s="2" t="n"/>
      <c r="C104" s="2" t="n"/>
      <c r="D104" s="2" t="n"/>
      <c r="E104" s="2" t="n"/>
      <c r="F104" s="2" t="n"/>
      <c r="G104">
        <f>IF(F104="","",IF(TODAY()&gt;E104,"Vencido",IF(E104-TODAY()&lt;=5,"Vence em Breve","A Vencer")))</f>
        <v/>
      </c>
      <c r="H104">
        <f>IF(E104="","",E104-TODAY())</f>
        <v/>
      </c>
    </row>
    <row r="105">
      <c r="A105" s="2" t="n"/>
      <c r="B105" s="2" t="n"/>
      <c r="C105" s="2" t="n"/>
      <c r="D105" s="2" t="n"/>
      <c r="E105" s="2" t="n"/>
      <c r="F105" s="2" t="n"/>
      <c r="G105">
        <f>IF(F105="","",IF(TODAY()&gt;E105,"Vencido",IF(E105-TODAY()&lt;=5,"Vence em Breve","A Vencer")))</f>
        <v/>
      </c>
      <c r="H105">
        <f>IF(E105="","",E105-TODAY())</f>
        <v/>
      </c>
    </row>
    <row r="106">
      <c r="A106" s="2" t="n"/>
      <c r="B106" s="2" t="n"/>
      <c r="C106" s="2" t="n"/>
      <c r="D106" s="2" t="n"/>
      <c r="E106" s="2" t="n"/>
      <c r="F106" s="2" t="n"/>
      <c r="G106">
        <f>IF(F106="","",IF(TODAY()&gt;E106,"Vencido",IF(E106-TODAY()&lt;=5,"Vence em Breve","A Vencer")))</f>
        <v/>
      </c>
      <c r="H106">
        <f>IF(E106="","",E106-TODAY())</f>
        <v/>
      </c>
    </row>
    <row r="107">
      <c r="A107" s="2" t="n"/>
      <c r="B107" s="2" t="n"/>
      <c r="C107" s="2" t="n"/>
      <c r="D107" s="2" t="n"/>
      <c r="E107" s="2" t="n"/>
      <c r="F107" s="2" t="n"/>
      <c r="G107">
        <f>IF(F107="","",IF(TODAY()&gt;E107,"Vencido",IF(E107-TODAY()&lt;=5,"Vence em Breve","A Vencer")))</f>
        <v/>
      </c>
      <c r="H107">
        <f>IF(E107="","",E107-TODAY())</f>
        <v/>
      </c>
    </row>
    <row r="108">
      <c r="A108" s="2" t="n"/>
      <c r="B108" s="2" t="n"/>
      <c r="C108" s="2" t="n"/>
      <c r="D108" s="2" t="n"/>
      <c r="E108" s="2" t="n"/>
      <c r="F108" s="2" t="n"/>
      <c r="G108">
        <f>IF(F108="","",IF(TODAY()&gt;E108,"Vencido",IF(E108-TODAY()&lt;=5,"Vence em Breve","A Vencer")))</f>
        <v/>
      </c>
      <c r="H108">
        <f>IF(E108="","",E108-TODAY())</f>
        <v/>
      </c>
    </row>
    <row r="109">
      <c r="A109" s="2" t="n"/>
      <c r="B109" s="2" t="n"/>
      <c r="C109" s="2" t="n"/>
      <c r="D109" s="2" t="n"/>
      <c r="E109" s="2" t="n"/>
      <c r="F109" s="2" t="n"/>
      <c r="G109">
        <f>IF(F109="","",IF(TODAY()&gt;E109,"Vencido",IF(E109-TODAY()&lt;=5,"Vence em Breve","A Vencer")))</f>
        <v/>
      </c>
      <c r="H109">
        <f>IF(E109="","",E109-TODAY())</f>
        <v/>
      </c>
    </row>
    <row r="110">
      <c r="A110" s="2" t="n"/>
      <c r="B110" s="2" t="n"/>
      <c r="C110" s="2" t="n"/>
      <c r="D110" s="2" t="n"/>
      <c r="E110" s="2" t="n"/>
      <c r="F110" s="2" t="n"/>
      <c r="G110">
        <f>IF(F110="","",IF(TODAY()&gt;E110,"Vencido",IF(E110-TODAY()&lt;=5,"Vence em Breve","A Vencer")))</f>
        <v/>
      </c>
      <c r="H110">
        <f>IF(E110="","",E110-TODAY())</f>
        <v/>
      </c>
    </row>
    <row r="111">
      <c r="A111" s="2" t="n"/>
      <c r="B111" s="2" t="n"/>
      <c r="C111" s="2" t="n"/>
      <c r="D111" s="2" t="n"/>
      <c r="E111" s="2" t="n"/>
      <c r="F111" s="2" t="n"/>
      <c r="G111">
        <f>IF(F111="","",IF(TODAY()&gt;E111,"Vencido",IF(E111-TODAY()&lt;=5,"Vence em Breve","A Vencer")))</f>
        <v/>
      </c>
      <c r="H111">
        <f>IF(E111="","",E111-TODAY())</f>
        <v/>
      </c>
    </row>
    <row r="112">
      <c r="A112" s="2" t="n"/>
      <c r="B112" s="2" t="n"/>
      <c r="C112" s="2" t="n"/>
      <c r="D112" s="2" t="n"/>
      <c r="E112" s="2" t="n"/>
      <c r="F112" s="2" t="n"/>
      <c r="G112">
        <f>IF(F112="","",IF(TODAY()&gt;E112,"Vencido",IF(E112-TODAY()&lt;=5,"Vence em Breve","A Vencer")))</f>
        <v/>
      </c>
      <c r="H112">
        <f>IF(E112="","",E112-TODAY())</f>
        <v/>
      </c>
    </row>
    <row r="113">
      <c r="A113" s="2" t="n"/>
      <c r="B113" s="2" t="n"/>
      <c r="C113" s="2" t="n"/>
      <c r="D113" s="2" t="n"/>
      <c r="E113" s="2" t="n"/>
      <c r="F113" s="2" t="n"/>
      <c r="G113">
        <f>IF(F113="","",IF(TODAY()&gt;E113,"Vencido",IF(E113-TODAY()&lt;=5,"Vence em Breve","A Vencer")))</f>
        <v/>
      </c>
      <c r="H113">
        <f>IF(E113="","",E113-TODAY())</f>
        <v/>
      </c>
    </row>
    <row r="114">
      <c r="A114" s="2" t="n"/>
      <c r="B114" s="2" t="n"/>
      <c r="C114" s="2" t="n"/>
      <c r="D114" s="2" t="n"/>
      <c r="E114" s="2" t="n"/>
      <c r="F114" s="2" t="n"/>
      <c r="G114">
        <f>IF(F114="","",IF(TODAY()&gt;E114,"Vencido",IF(E114-TODAY()&lt;=5,"Vence em Breve","A Vencer")))</f>
        <v/>
      </c>
      <c r="H114">
        <f>IF(E114="","",E114-TODAY())</f>
        <v/>
      </c>
    </row>
    <row r="115">
      <c r="A115" s="2" t="n"/>
      <c r="B115" s="2" t="n"/>
      <c r="C115" s="2" t="n"/>
      <c r="D115" s="2" t="n"/>
      <c r="E115" s="2" t="n"/>
      <c r="F115" s="2" t="n"/>
      <c r="G115">
        <f>IF(F115="","",IF(TODAY()&gt;E115,"Vencido",IF(E115-TODAY()&lt;=5,"Vence em Breve","A Vencer")))</f>
        <v/>
      </c>
      <c r="H115">
        <f>IF(E115="","",E115-TODAY())</f>
        <v/>
      </c>
    </row>
    <row r="116">
      <c r="A116" s="2" t="n"/>
      <c r="B116" s="2" t="n"/>
      <c r="C116" s="2" t="n"/>
      <c r="D116" s="2" t="n"/>
      <c r="E116" s="2" t="n"/>
      <c r="F116" s="2" t="n"/>
      <c r="G116">
        <f>IF(F116="","",IF(TODAY()&gt;E116,"Vencido",IF(E116-TODAY()&lt;=5,"Vence em Breve","A Vencer")))</f>
        <v/>
      </c>
      <c r="H116">
        <f>IF(E116="","",E116-TODAY())</f>
        <v/>
      </c>
    </row>
    <row r="117">
      <c r="A117" s="2" t="n"/>
      <c r="B117" s="2" t="n"/>
      <c r="C117" s="2" t="n"/>
      <c r="D117" s="2" t="n"/>
      <c r="E117" s="2" t="n"/>
      <c r="F117" s="2" t="n"/>
      <c r="G117">
        <f>IF(F117="","",IF(TODAY()&gt;E117,"Vencido",IF(E117-TODAY()&lt;=5,"Vence em Breve","A Vencer")))</f>
        <v/>
      </c>
      <c r="H117">
        <f>IF(E117="","",E117-TODAY())</f>
        <v/>
      </c>
    </row>
    <row r="118">
      <c r="A118" s="2" t="n"/>
      <c r="B118" s="2" t="n"/>
      <c r="C118" s="2" t="n"/>
      <c r="D118" s="2" t="n"/>
      <c r="E118" s="2" t="n"/>
      <c r="F118" s="2" t="n"/>
      <c r="G118">
        <f>IF(F118="","",IF(TODAY()&gt;E118,"Vencido",IF(E118-TODAY()&lt;=5,"Vence em Breve","A Vencer")))</f>
        <v/>
      </c>
      <c r="H118">
        <f>IF(E118="","",E118-TODAY())</f>
        <v/>
      </c>
    </row>
    <row r="119">
      <c r="A119" s="2" t="n"/>
      <c r="B119" s="2" t="n"/>
      <c r="C119" s="2" t="n"/>
      <c r="D119" s="2" t="n"/>
      <c r="E119" s="2" t="n"/>
      <c r="F119" s="2" t="n"/>
      <c r="G119">
        <f>IF(F119="","",IF(TODAY()&gt;E119,"Vencido",IF(E119-TODAY()&lt;=5,"Vence em Breve","A Vencer")))</f>
        <v/>
      </c>
      <c r="H119">
        <f>IF(E119="","",E119-TODAY())</f>
        <v/>
      </c>
    </row>
    <row r="120">
      <c r="A120" s="2" t="n"/>
      <c r="B120" s="2" t="n"/>
      <c r="C120" s="2" t="n"/>
      <c r="D120" s="2" t="n"/>
      <c r="E120" s="2" t="n"/>
      <c r="F120" s="2" t="n"/>
      <c r="G120">
        <f>IF(F120="","",IF(TODAY()&gt;E120,"Vencido",IF(E120-TODAY()&lt;=5,"Vence em Breve","A Vencer")))</f>
        <v/>
      </c>
      <c r="H120">
        <f>IF(E120="","",E120-TODAY())</f>
        <v/>
      </c>
    </row>
    <row r="121">
      <c r="A121" s="2" t="n"/>
      <c r="B121" s="2" t="n"/>
      <c r="C121" s="2" t="n"/>
      <c r="D121" s="2" t="n"/>
      <c r="E121" s="2" t="n"/>
      <c r="F121" s="2" t="n"/>
      <c r="G121">
        <f>IF(F121="","",IF(TODAY()&gt;E121,"Vencido",IF(E121-TODAY()&lt;=5,"Vence em Breve","A Vencer")))</f>
        <v/>
      </c>
      <c r="H121">
        <f>IF(E121="","",E121-TODAY())</f>
        <v/>
      </c>
    </row>
    <row r="122">
      <c r="A122" s="2" t="n"/>
      <c r="B122" s="2" t="n"/>
      <c r="C122" s="2" t="n"/>
      <c r="D122" s="2" t="n"/>
      <c r="E122" s="2" t="n"/>
      <c r="F122" s="2" t="n"/>
      <c r="G122">
        <f>IF(F122="","",IF(TODAY()&gt;E122,"Vencido",IF(E122-TODAY()&lt;=5,"Vence em Breve","A Vencer")))</f>
        <v/>
      </c>
      <c r="H122">
        <f>IF(E122="","",E122-TODAY())</f>
        <v/>
      </c>
    </row>
    <row r="123">
      <c r="A123" s="2" t="n"/>
      <c r="B123" s="2" t="n"/>
      <c r="C123" s="2" t="n"/>
      <c r="D123" s="2" t="n"/>
      <c r="E123" s="2" t="n"/>
      <c r="F123" s="2" t="n"/>
      <c r="G123">
        <f>IF(F123="","",IF(TODAY()&gt;E123,"Vencido",IF(E123-TODAY()&lt;=5,"Vence em Breve","A Vencer")))</f>
        <v/>
      </c>
      <c r="H123">
        <f>IF(E123="","",E123-TODAY())</f>
        <v/>
      </c>
    </row>
    <row r="124">
      <c r="A124" s="2" t="n"/>
      <c r="B124" s="2" t="n"/>
      <c r="C124" s="2" t="n"/>
      <c r="D124" s="2" t="n"/>
      <c r="E124" s="2" t="n"/>
      <c r="F124" s="2" t="n"/>
      <c r="G124">
        <f>IF(F124="","",IF(TODAY()&gt;E124,"Vencido",IF(E124-TODAY()&lt;=5,"Vence em Breve","A Vencer")))</f>
        <v/>
      </c>
      <c r="H124">
        <f>IF(E124="","",E124-TODAY())</f>
        <v/>
      </c>
    </row>
    <row r="125">
      <c r="A125" s="2" t="n"/>
      <c r="B125" s="2" t="n"/>
      <c r="C125" s="2" t="n"/>
      <c r="D125" s="2" t="n"/>
      <c r="E125" s="2" t="n"/>
      <c r="F125" s="2" t="n"/>
      <c r="G125">
        <f>IF(F125="","",IF(TODAY()&gt;E125,"Vencido",IF(E125-TODAY()&lt;=5,"Vence em Breve","A Vencer")))</f>
        <v/>
      </c>
      <c r="H125">
        <f>IF(E125="","",E125-TODAY())</f>
        <v/>
      </c>
    </row>
    <row r="126">
      <c r="A126" s="2" t="n"/>
      <c r="B126" s="2" t="n"/>
      <c r="C126" s="2" t="n"/>
      <c r="D126" s="2" t="n"/>
      <c r="E126" s="2" t="n"/>
      <c r="F126" s="2" t="n"/>
      <c r="G126">
        <f>IF(F126="","",IF(TODAY()&gt;E126,"Vencido",IF(E126-TODAY()&lt;=5,"Vence em Breve","A Vencer")))</f>
        <v/>
      </c>
      <c r="H126">
        <f>IF(E126="","",E126-TODAY())</f>
        <v/>
      </c>
    </row>
    <row r="127">
      <c r="A127" s="2" t="n"/>
      <c r="B127" s="2" t="n"/>
      <c r="C127" s="2" t="n"/>
      <c r="D127" s="2" t="n"/>
      <c r="E127" s="2" t="n"/>
      <c r="F127" s="2" t="n"/>
      <c r="G127">
        <f>IF(F127="","",IF(TODAY()&gt;E127,"Vencido",IF(E127-TODAY()&lt;=5,"Vence em Breve","A Vencer")))</f>
        <v/>
      </c>
      <c r="H127">
        <f>IF(E127="","",E127-TODAY())</f>
        <v/>
      </c>
    </row>
    <row r="128">
      <c r="A128" s="2" t="n"/>
      <c r="B128" s="2" t="n"/>
      <c r="C128" s="2" t="n"/>
      <c r="D128" s="2" t="n"/>
      <c r="E128" s="2" t="n"/>
      <c r="F128" s="2" t="n"/>
      <c r="G128">
        <f>IF(F128="","",IF(TODAY()&gt;E128,"Vencido",IF(E128-TODAY()&lt;=5,"Vence em Breve","A Vencer")))</f>
        <v/>
      </c>
      <c r="H128">
        <f>IF(E128="","",E128-TODAY())</f>
        <v/>
      </c>
    </row>
    <row r="129">
      <c r="A129" s="2" t="n"/>
      <c r="B129" s="2" t="n"/>
      <c r="C129" s="2" t="n"/>
      <c r="D129" s="2" t="n"/>
      <c r="E129" s="2" t="n"/>
      <c r="F129" s="2" t="n"/>
      <c r="G129">
        <f>IF(F129="","",IF(TODAY()&gt;E129,"Vencido",IF(E129-TODAY()&lt;=5,"Vence em Breve","A Vencer")))</f>
        <v/>
      </c>
      <c r="H129">
        <f>IF(E129="","",E129-TODAY())</f>
        <v/>
      </c>
    </row>
    <row r="130">
      <c r="A130" s="2" t="n"/>
      <c r="B130" s="2" t="n"/>
      <c r="C130" s="2" t="n"/>
      <c r="D130" s="2" t="n"/>
      <c r="E130" s="2" t="n"/>
      <c r="F130" s="2" t="n"/>
      <c r="G130">
        <f>IF(F130="","",IF(TODAY()&gt;E130,"Vencido",IF(E130-TODAY()&lt;=5,"Vence em Breve","A Vencer")))</f>
        <v/>
      </c>
      <c r="H130">
        <f>IF(E130="","",E130-TODAY())</f>
        <v/>
      </c>
    </row>
    <row r="131">
      <c r="A131" s="2" t="n"/>
      <c r="B131" s="2" t="n"/>
      <c r="C131" s="2" t="n"/>
      <c r="D131" s="2" t="n"/>
      <c r="E131" s="2" t="n"/>
      <c r="F131" s="2" t="n"/>
      <c r="G131">
        <f>IF(F131="","",IF(TODAY()&gt;E131,"Vencido",IF(E131-TODAY()&lt;=5,"Vence em Breve","A Vencer")))</f>
        <v/>
      </c>
      <c r="H131">
        <f>IF(E131="","",E131-TODAY())</f>
        <v/>
      </c>
    </row>
    <row r="132">
      <c r="A132" s="2" t="n"/>
      <c r="B132" s="2" t="n"/>
      <c r="C132" s="2" t="n"/>
      <c r="D132" s="2" t="n"/>
      <c r="E132" s="2" t="n"/>
      <c r="F132" s="2" t="n"/>
      <c r="G132">
        <f>IF(F132="","",IF(TODAY()&gt;E132,"Vencido",IF(E132-TODAY()&lt;=5,"Vence em Breve","A Vencer")))</f>
        <v/>
      </c>
      <c r="H132">
        <f>IF(E132="","",E132-TODAY())</f>
        <v/>
      </c>
    </row>
    <row r="133">
      <c r="A133" s="2" t="n"/>
      <c r="B133" s="2" t="n"/>
      <c r="C133" s="2" t="n"/>
      <c r="D133" s="2" t="n"/>
      <c r="E133" s="2" t="n"/>
      <c r="F133" s="2" t="n"/>
      <c r="G133">
        <f>IF(F133="","",IF(TODAY()&gt;E133,"Vencido",IF(E133-TODAY()&lt;=5,"Vence em Breve","A Vencer")))</f>
        <v/>
      </c>
      <c r="H133">
        <f>IF(E133="","",E133-TODAY())</f>
        <v/>
      </c>
    </row>
    <row r="134">
      <c r="A134" s="2" t="n"/>
      <c r="B134" s="2" t="n"/>
      <c r="C134" s="2" t="n"/>
      <c r="D134" s="2" t="n"/>
      <c r="E134" s="2" t="n"/>
      <c r="F134" s="2" t="n"/>
      <c r="G134">
        <f>IF(F134="","",IF(TODAY()&gt;E134,"Vencido",IF(E134-TODAY()&lt;=5,"Vence em Breve","A Vencer")))</f>
        <v/>
      </c>
      <c r="H134">
        <f>IF(E134="","",E134-TODAY())</f>
        <v/>
      </c>
    </row>
    <row r="135">
      <c r="A135" s="2" t="n"/>
      <c r="B135" s="2" t="n"/>
      <c r="C135" s="2" t="n"/>
      <c r="D135" s="2" t="n"/>
      <c r="E135" s="2" t="n"/>
      <c r="F135" s="2" t="n"/>
      <c r="G135">
        <f>IF(F135="","",IF(TODAY()&gt;E135,"Vencido",IF(E135-TODAY()&lt;=5,"Vence em Breve","A Vencer")))</f>
        <v/>
      </c>
      <c r="H135">
        <f>IF(E135="","",E135-TODAY())</f>
        <v/>
      </c>
    </row>
    <row r="136">
      <c r="A136" s="2" t="n"/>
      <c r="B136" s="2" t="n"/>
      <c r="C136" s="2" t="n"/>
      <c r="D136" s="2" t="n"/>
      <c r="E136" s="2" t="n"/>
      <c r="F136" s="2" t="n"/>
      <c r="G136">
        <f>IF(F136="","",IF(TODAY()&gt;E136,"Vencido",IF(E136-TODAY()&lt;=5,"Vence em Breve","A Vencer")))</f>
        <v/>
      </c>
      <c r="H136">
        <f>IF(E136="","",E136-TODAY())</f>
        <v/>
      </c>
    </row>
    <row r="137">
      <c r="A137" s="2" t="n"/>
      <c r="B137" s="2" t="n"/>
      <c r="C137" s="2" t="n"/>
      <c r="D137" s="2" t="n"/>
      <c r="E137" s="2" t="n"/>
      <c r="F137" s="2" t="n"/>
      <c r="G137">
        <f>IF(F137="","",IF(TODAY()&gt;E137,"Vencido",IF(E137-TODAY()&lt;=5,"Vence em Breve","A Vencer")))</f>
        <v/>
      </c>
      <c r="H137">
        <f>IF(E137="","",E137-TODAY())</f>
        <v/>
      </c>
    </row>
    <row r="138">
      <c r="A138" s="2" t="n"/>
      <c r="B138" s="2" t="n"/>
      <c r="C138" s="2" t="n"/>
      <c r="D138" s="2" t="n"/>
      <c r="E138" s="2" t="n"/>
      <c r="F138" s="2" t="n"/>
      <c r="G138">
        <f>IF(F138="","",IF(TODAY()&gt;E138,"Vencido",IF(E138-TODAY()&lt;=5,"Vence em Breve","A Vencer")))</f>
        <v/>
      </c>
      <c r="H138">
        <f>IF(E138="","",E138-TODAY())</f>
        <v/>
      </c>
    </row>
    <row r="139">
      <c r="A139" s="2" t="n"/>
      <c r="B139" s="2" t="n"/>
      <c r="C139" s="2" t="n"/>
      <c r="D139" s="2" t="n"/>
      <c r="E139" s="2" t="n"/>
      <c r="F139" s="2" t="n"/>
      <c r="G139">
        <f>IF(F139="","",IF(TODAY()&gt;E139,"Vencido",IF(E139-TODAY()&lt;=5,"Vence em Breve","A Vencer")))</f>
        <v/>
      </c>
      <c r="H139">
        <f>IF(E139="","",E139-TODAY())</f>
        <v/>
      </c>
    </row>
    <row r="140">
      <c r="A140" s="2" t="n"/>
      <c r="B140" s="2" t="n"/>
      <c r="C140" s="2" t="n"/>
      <c r="D140" s="2" t="n"/>
      <c r="E140" s="2" t="n"/>
      <c r="F140" s="2" t="n"/>
      <c r="G140">
        <f>IF(F140="","",IF(TODAY()&gt;E140,"Vencido",IF(E140-TODAY()&lt;=5,"Vence em Breve","A Vencer")))</f>
        <v/>
      </c>
      <c r="H140">
        <f>IF(E140="","",E140-TODAY())</f>
        <v/>
      </c>
    </row>
    <row r="141">
      <c r="A141" s="2" t="n"/>
      <c r="B141" s="2" t="n"/>
      <c r="C141" s="2" t="n"/>
      <c r="D141" s="2" t="n"/>
      <c r="E141" s="2" t="n"/>
      <c r="F141" s="2" t="n"/>
      <c r="G141">
        <f>IF(F141="","",IF(TODAY()&gt;E141,"Vencido",IF(E141-TODAY()&lt;=5,"Vence em Breve","A Vencer")))</f>
        <v/>
      </c>
      <c r="H141">
        <f>IF(E141="","",E141-TODAY())</f>
        <v/>
      </c>
    </row>
    <row r="142">
      <c r="A142" s="2" t="n"/>
      <c r="B142" s="2" t="n"/>
      <c r="C142" s="2" t="n"/>
      <c r="D142" s="2" t="n"/>
      <c r="E142" s="2" t="n"/>
      <c r="F142" s="2" t="n"/>
      <c r="G142">
        <f>IF(F142="","",IF(TODAY()&gt;E142,"Vencido",IF(E142-TODAY()&lt;=5,"Vence em Breve","A Vencer")))</f>
        <v/>
      </c>
      <c r="H142">
        <f>IF(E142="","",E142-TODAY())</f>
        <v/>
      </c>
    </row>
    <row r="143">
      <c r="A143" s="2" t="n"/>
      <c r="B143" s="2" t="n"/>
      <c r="C143" s="2" t="n"/>
      <c r="D143" s="2" t="n"/>
      <c r="E143" s="2" t="n"/>
      <c r="F143" s="2" t="n"/>
      <c r="G143">
        <f>IF(F143="","",IF(TODAY()&gt;E143,"Vencido",IF(E143-TODAY()&lt;=5,"Vence em Breve","A Vencer")))</f>
        <v/>
      </c>
      <c r="H143">
        <f>IF(E143="","",E143-TODAY())</f>
        <v/>
      </c>
    </row>
    <row r="144">
      <c r="A144" s="2" t="n"/>
      <c r="B144" s="2" t="n"/>
      <c r="C144" s="2" t="n"/>
      <c r="D144" s="2" t="n"/>
      <c r="E144" s="2" t="n"/>
      <c r="F144" s="2" t="n"/>
      <c r="G144">
        <f>IF(F144="","",IF(TODAY()&gt;E144,"Vencido",IF(E144-TODAY()&lt;=5,"Vence em Breve","A Vencer")))</f>
        <v/>
      </c>
      <c r="H144">
        <f>IF(E144="","",E144-TODAY())</f>
        <v/>
      </c>
    </row>
    <row r="145">
      <c r="A145" s="2" t="n"/>
      <c r="B145" s="2" t="n"/>
      <c r="C145" s="2" t="n"/>
      <c r="D145" s="2" t="n"/>
      <c r="E145" s="2" t="n"/>
      <c r="F145" s="2" t="n"/>
      <c r="G145">
        <f>IF(F145="","",IF(TODAY()&gt;E145,"Vencido",IF(E145-TODAY()&lt;=5,"Vence em Breve","A Vencer")))</f>
        <v/>
      </c>
      <c r="H145">
        <f>IF(E145="","",E145-TODAY())</f>
        <v/>
      </c>
    </row>
    <row r="146">
      <c r="A146" s="2" t="n"/>
      <c r="B146" s="2" t="n"/>
      <c r="C146" s="2" t="n"/>
      <c r="D146" s="2" t="n"/>
      <c r="E146" s="2" t="n"/>
      <c r="F146" s="2" t="n"/>
      <c r="G146">
        <f>IF(F146="","",IF(TODAY()&gt;E146,"Vencido",IF(E146-TODAY()&lt;=5,"Vence em Breve","A Vencer")))</f>
        <v/>
      </c>
      <c r="H146">
        <f>IF(E146="","",E146-TODAY())</f>
        <v/>
      </c>
    </row>
    <row r="147">
      <c r="A147" s="2" t="n"/>
      <c r="B147" s="2" t="n"/>
      <c r="C147" s="2" t="n"/>
      <c r="D147" s="2" t="n"/>
      <c r="E147" s="2" t="n"/>
      <c r="F147" s="2" t="n"/>
      <c r="G147">
        <f>IF(F147="","",IF(TODAY()&gt;E147,"Vencido",IF(E147-TODAY()&lt;=5,"Vence em Breve","A Vencer")))</f>
        <v/>
      </c>
      <c r="H147">
        <f>IF(E147="","",E147-TODAY())</f>
        <v/>
      </c>
    </row>
    <row r="148">
      <c r="A148" s="2" t="n"/>
      <c r="B148" s="2" t="n"/>
      <c r="C148" s="2" t="n"/>
      <c r="D148" s="2" t="n"/>
      <c r="E148" s="2" t="n"/>
      <c r="F148" s="2" t="n"/>
      <c r="G148">
        <f>IF(F148="","",IF(TODAY()&gt;E148,"Vencido",IF(E148-TODAY()&lt;=5,"Vence em Breve","A Vencer")))</f>
        <v/>
      </c>
      <c r="H148">
        <f>IF(E148="","",E148-TODAY())</f>
        <v/>
      </c>
    </row>
    <row r="149">
      <c r="A149" s="2" t="n"/>
      <c r="B149" s="2" t="n"/>
      <c r="C149" s="2" t="n"/>
      <c r="D149" s="2" t="n"/>
      <c r="E149" s="2" t="n"/>
      <c r="F149" s="2" t="n"/>
      <c r="G149">
        <f>IF(F149="","",IF(TODAY()&gt;E149,"Vencido",IF(E149-TODAY()&lt;=5,"Vence em Breve","A Vencer")))</f>
        <v/>
      </c>
      <c r="H149">
        <f>IF(E149="","",E149-TODAY())</f>
        <v/>
      </c>
    </row>
    <row r="150">
      <c r="A150" s="2" t="n"/>
      <c r="B150" s="2" t="n"/>
      <c r="C150" s="2" t="n"/>
      <c r="D150" s="2" t="n"/>
      <c r="E150" s="2" t="n"/>
      <c r="F150" s="2" t="n"/>
      <c r="G150">
        <f>IF(F150="","",IF(TODAY()&gt;E150,"Vencido",IF(E150-TODAY()&lt;=5,"Vence em Breve","A Vencer")))</f>
        <v/>
      </c>
      <c r="H150">
        <f>IF(E150="","",E150-TODAY())</f>
        <v/>
      </c>
    </row>
    <row r="151">
      <c r="A151" s="2" t="n"/>
      <c r="B151" s="2" t="n"/>
      <c r="C151" s="2" t="n"/>
      <c r="D151" s="2" t="n"/>
      <c r="E151" s="2" t="n"/>
      <c r="F151" s="2" t="n"/>
      <c r="G151">
        <f>IF(F151="","",IF(TODAY()&gt;E151,"Vencido",IF(E151-TODAY()&lt;=5,"Vence em Breve","A Vencer")))</f>
        <v/>
      </c>
      <c r="H151">
        <f>IF(E151="","",E151-TODAY())</f>
        <v/>
      </c>
    </row>
    <row r="152">
      <c r="A152" s="2" t="n"/>
      <c r="B152" s="2" t="n"/>
      <c r="C152" s="2" t="n"/>
      <c r="D152" s="2" t="n"/>
      <c r="E152" s="2" t="n"/>
      <c r="F152" s="2" t="n"/>
      <c r="G152">
        <f>IF(F152="","",IF(TODAY()&gt;E152,"Vencido",IF(E152-TODAY()&lt;=5,"Vence em Breve","A Vencer")))</f>
        <v/>
      </c>
      <c r="H152">
        <f>IF(E152="","",E152-TODAY())</f>
        <v/>
      </c>
    </row>
    <row r="153">
      <c r="A153" s="2" t="n"/>
      <c r="B153" s="2" t="n"/>
      <c r="C153" s="2" t="n"/>
      <c r="D153" s="2" t="n"/>
      <c r="E153" s="2" t="n"/>
      <c r="F153" s="2" t="n"/>
      <c r="G153">
        <f>IF(F153="","",IF(TODAY()&gt;E153,"Vencido",IF(E153-TODAY()&lt;=5,"Vence em Breve","A Vencer")))</f>
        <v/>
      </c>
      <c r="H153">
        <f>IF(E153="","",E153-TODAY())</f>
        <v/>
      </c>
    </row>
    <row r="154">
      <c r="A154" s="2" t="n"/>
      <c r="B154" s="2" t="n"/>
      <c r="C154" s="2" t="n"/>
      <c r="D154" s="2" t="n"/>
      <c r="E154" s="2" t="n"/>
      <c r="F154" s="2" t="n"/>
      <c r="G154">
        <f>IF(F154="","",IF(TODAY()&gt;E154,"Vencido",IF(E154-TODAY()&lt;=5,"Vence em Breve","A Vencer")))</f>
        <v/>
      </c>
      <c r="H154">
        <f>IF(E154="","",E154-TODAY())</f>
        <v/>
      </c>
    </row>
    <row r="155">
      <c r="A155" s="2" t="n"/>
      <c r="B155" s="2" t="n"/>
      <c r="C155" s="2" t="n"/>
      <c r="D155" s="2" t="n"/>
      <c r="E155" s="2" t="n"/>
      <c r="F155" s="2" t="n"/>
      <c r="G155">
        <f>IF(F155="","",IF(TODAY()&gt;E155,"Vencido",IF(E155-TODAY()&lt;=5,"Vence em Breve","A Vencer")))</f>
        <v/>
      </c>
      <c r="H155">
        <f>IF(E155="","",E155-TODAY())</f>
        <v/>
      </c>
    </row>
    <row r="156">
      <c r="A156" s="2" t="n"/>
      <c r="B156" s="2" t="n"/>
      <c r="C156" s="2" t="n"/>
      <c r="D156" s="2" t="n"/>
      <c r="E156" s="2" t="n"/>
      <c r="F156" s="2" t="n"/>
      <c r="G156">
        <f>IF(F156="","",IF(TODAY()&gt;E156,"Vencido",IF(E156-TODAY()&lt;=5,"Vence em Breve","A Vencer")))</f>
        <v/>
      </c>
      <c r="H156">
        <f>IF(E156="","",E156-TODAY())</f>
        <v/>
      </c>
    </row>
    <row r="157">
      <c r="A157" s="2" t="n"/>
      <c r="B157" s="2" t="n"/>
      <c r="C157" s="2" t="n"/>
      <c r="D157" s="2" t="n"/>
      <c r="E157" s="2" t="n"/>
      <c r="F157" s="2" t="n"/>
      <c r="G157">
        <f>IF(F157="","",IF(TODAY()&gt;E157,"Vencido",IF(E157-TODAY()&lt;=5,"Vence em Breve","A Vencer")))</f>
        <v/>
      </c>
      <c r="H157">
        <f>IF(E157="","",E157-TODAY())</f>
        <v/>
      </c>
    </row>
    <row r="158">
      <c r="A158" s="2" t="n"/>
      <c r="B158" s="2" t="n"/>
      <c r="C158" s="2" t="n"/>
      <c r="D158" s="2" t="n"/>
      <c r="E158" s="2" t="n"/>
      <c r="F158" s="2" t="n"/>
      <c r="G158">
        <f>IF(F158="","",IF(TODAY()&gt;E158,"Vencido",IF(E158-TODAY()&lt;=5,"Vence em Breve","A Vencer")))</f>
        <v/>
      </c>
      <c r="H158">
        <f>IF(E158="","",E158-TODAY())</f>
        <v/>
      </c>
    </row>
    <row r="159">
      <c r="A159" s="2" t="n"/>
      <c r="B159" s="2" t="n"/>
      <c r="C159" s="2" t="n"/>
      <c r="D159" s="2" t="n"/>
      <c r="E159" s="2" t="n"/>
      <c r="F159" s="2" t="n"/>
      <c r="G159">
        <f>IF(F159="","",IF(TODAY()&gt;E159,"Vencido",IF(E159-TODAY()&lt;=5,"Vence em Breve","A Vencer")))</f>
        <v/>
      </c>
      <c r="H159">
        <f>IF(E159="","",E159-TODAY())</f>
        <v/>
      </c>
    </row>
    <row r="160">
      <c r="A160" s="2" t="n"/>
      <c r="B160" s="2" t="n"/>
      <c r="C160" s="2" t="n"/>
      <c r="D160" s="2" t="n"/>
      <c r="E160" s="2" t="n"/>
      <c r="F160" s="2" t="n"/>
      <c r="G160">
        <f>IF(F160="","",IF(TODAY()&gt;E160,"Vencido",IF(E160-TODAY()&lt;=5,"Vence em Breve","A Vencer")))</f>
        <v/>
      </c>
      <c r="H160">
        <f>IF(E160="","",E160-TODAY())</f>
        <v/>
      </c>
    </row>
    <row r="161">
      <c r="A161" s="2" t="n"/>
      <c r="B161" s="2" t="n"/>
      <c r="C161" s="2" t="n"/>
      <c r="D161" s="2" t="n"/>
      <c r="E161" s="2" t="n"/>
      <c r="F161" s="2" t="n"/>
      <c r="G161">
        <f>IF(F161="","",IF(TODAY()&gt;E161,"Vencido",IF(E161-TODAY()&lt;=5,"Vence em Breve","A Vencer")))</f>
        <v/>
      </c>
      <c r="H161">
        <f>IF(E161="","",E161-TODAY())</f>
        <v/>
      </c>
    </row>
    <row r="162">
      <c r="A162" s="2" t="n"/>
      <c r="B162" s="2" t="n"/>
      <c r="C162" s="2" t="n"/>
      <c r="D162" s="2" t="n"/>
      <c r="E162" s="2" t="n"/>
      <c r="F162" s="2" t="n"/>
      <c r="G162">
        <f>IF(F162="","",IF(TODAY()&gt;E162,"Vencido",IF(E162-TODAY()&lt;=5,"Vence em Breve","A Vencer")))</f>
        <v/>
      </c>
      <c r="H162">
        <f>IF(E162="","",E162-TODAY())</f>
        <v/>
      </c>
    </row>
    <row r="163">
      <c r="A163" s="2" t="n"/>
      <c r="B163" s="2" t="n"/>
      <c r="C163" s="2" t="n"/>
      <c r="D163" s="2" t="n"/>
      <c r="E163" s="2" t="n"/>
      <c r="F163" s="2" t="n"/>
      <c r="G163">
        <f>IF(F163="","",IF(TODAY()&gt;E163,"Vencido",IF(E163-TODAY()&lt;=5,"Vence em Breve","A Vencer")))</f>
        <v/>
      </c>
      <c r="H163">
        <f>IF(E163="","",E163-TODAY())</f>
        <v/>
      </c>
    </row>
    <row r="164">
      <c r="A164" s="2" t="n"/>
      <c r="B164" s="2" t="n"/>
      <c r="C164" s="2" t="n"/>
      <c r="D164" s="2" t="n"/>
      <c r="E164" s="2" t="n"/>
      <c r="F164" s="2" t="n"/>
      <c r="G164">
        <f>IF(F164="","",IF(TODAY()&gt;E164,"Vencido",IF(E164-TODAY()&lt;=5,"Vence em Breve","A Vencer")))</f>
        <v/>
      </c>
      <c r="H164">
        <f>IF(E164="","",E164-TODAY())</f>
        <v/>
      </c>
    </row>
    <row r="165">
      <c r="A165" s="2" t="n"/>
      <c r="B165" s="2" t="n"/>
      <c r="C165" s="2" t="n"/>
      <c r="D165" s="2" t="n"/>
      <c r="E165" s="2" t="n"/>
      <c r="F165" s="2" t="n"/>
      <c r="G165">
        <f>IF(F165="","",IF(TODAY()&gt;E165,"Vencido",IF(E165-TODAY()&lt;=5,"Vence em Breve","A Vencer")))</f>
        <v/>
      </c>
      <c r="H165">
        <f>IF(E165="","",E165-TODAY())</f>
        <v/>
      </c>
    </row>
    <row r="166">
      <c r="A166" s="2" t="n"/>
      <c r="B166" s="2" t="n"/>
      <c r="C166" s="2" t="n"/>
      <c r="D166" s="2" t="n"/>
      <c r="E166" s="2" t="n"/>
      <c r="F166" s="2" t="n"/>
      <c r="G166">
        <f>IF(F166="","",IF(TODAY()&gt;E166,"Vencido",IF(E166-TODAY()&lt;=5,"Vence em Breve","A Vencer")))</f>
        <v/>
      </c>
      <c r="H166">
        <f>IF(E166="","",E166-TODAY())</f>
        <v/>
      </c>
    </row>
    <row r="167">
      <c r="A167" s="2" t="n"/>
      <c r="B167" s="2" t="n"/>
      <c r="C167" s="2" t="n"/>
      <c r="D167" s="2" t="n"/>
      <c r="E167" s="2" t="n"/>
      <c r="F167" s="2" t="n"/>
      <c r="G167">
        <f>IF(F167="","",IF(TODAY()&gt;E167,"Vencido",IF(E167-TODAY()&lt;=5,"Vence em Breve","A Vencer")))</f>
        <v/>
      </c>
      <c r="H167">
        <f>IF(E167="","",E167-TODAY())</f>
        <v/>
      </c>
    </row>
    <row r="168">
      <c r="A168" s="2" t="n"/>
      <c r="B168" s="2" t="n"/>
      <c r="C168" s="2" t="n"/>
      <c r="D168" s="2" t="n"/>
      <c r="E168" s="2" t="n"/>
      <c r="F168" s="2" t="n"/>
      <c r="G168">
        <f>IF(F168="","",IF(TODAY()&gt;E168,"Vencido",IF(E168-TODAY()&lt;=5,"Vence em Breve","A Vencer")))</f>
        <v/>
      </c>
      <c r="H168">
        <f>IF(E168="","",E168-TODAY())</f>
        <v/>
      </c>
    </row>
    <row r="169">
      <c r="A169" s="2" t="n"/>
      <c r="B169" s="2" t="n"/>
      <c r="C169" s="2" t="n"/>
      <c r="D169" s="2" t="n"/>
      <c r="E169" s="2" t="n"/>
      <c r="F169" s="2" t="n"/>
      <c r="G169">
        <f>IF(F169="","",IF(TODAY()&gt;E169,"Vencido",IF(E169-TODAY()&lt;=5,"Vence em Breve","A Vencer")))</f>
        <v/>
      </c>
      <c r="H169">
        <f>IF(E169="","",E169-TODAY())</f>
        <v/>
      </c>
    </row>
    <row r="170">
      <c r="A170" s="2" t="n"/>
      <c r="B170" s="2" t="n"/>
      <c r="C170" s="2" t="n"/>
      <c r="D170" s="2" t="n"/>
      <c r="E170" s="2" t="n"/>
      <c r="F170" s="2" t="n"/>
      <c r="G170">
        <f>IF(F170="","",IF(TODAY()&gt;E170,"Vencido",IF(E170-TODAY()&lt;=5,"Vence em Breve","A Vencer")))</f>
        <v/>
      </c>
      <c r="H170">
        <f>IF(E170="","",E170-TODAY())</f>
        <v/>
      </c>
    </row>
    <row r="171">
      <c r="A171" s="2" t="n"/>
      <c r="B171" s="2" t="n"/>
      <c r="C171" s="2" t="n"/>
      <c r="D171" s="2" t="n"/>
      <c r="E171" s="2" t="n"/>
      <c r="F171" s="2" t="n"/>
      <c r="G171">
        <f>IF(F171="","",IF(TODAY()&gt;E171,"Vencido",IF(E171-TODAY()&lt;=5,"Vence em Breve","A Vencer")))</f>
        <v/>
      </c>
      <c r="H171">
        <f>IF(E171="","",E171-TODAY())</f>
        <v/>
      </c>
    </row>
    <row r="172">
      <c r="A172" s="2" t="n"/>
      <c r="B172" s="2" t="n"/>
      <c r="C172" s="2" t="n"/>
      <c r="D172" s="2" t="n"/>
      <c r="E172" s="2" t="n"/>
      <c r="F172" s="2" t="n"/>
      <c r="G172">
        <f>IF(F172="","",IF(TODAY()&gt;E172,"Vencido",IF(E172-TODAY()&lt;=5,"Vence em Breve","A Vencer")))</f>
        <v/>
      </c>
      <c r="H172">
        <f>IF(E172="","",E172-TODAY())</f>
        <v/>
      </c>
    </row>
    <row r="173">
      <c r="A173" s="2" t="n"/>
      <c r="B173" s="2" t="n"/>
      <c r="C173" s="2" t="n"/>
      <c r="D173" s="2" t="n"/>
      <c r="E173" s="2" t="n"/>
      <c r="F173" s="2" t="n"/>
      <c r="G173">
        <f>IF(F173="","",IF(TODAY()&gt;E173,"Vencido",IF(E173-TODAY()&lt;=5,"Vence em Breve","A Vencer")))</f>
        <v/>
      </c>
      <c r="H173">
        <f>IF(E173="","",E173-TODAY())</f>
        <v/>
      </c>
    </row>
    <row r="174">
      <c r="A174" s="2" t="n"/>
      <c r="B174" s="2" t="n"/>
      <c r="C174" s="2" t="n"/>
      <c r="D174" s="2" t="n"/>
      <c r="E174" s="2" t="n"/>
      <c r="F174" s="2" t="n"/>
      <c r="G174">
        <f>IF(F174="","",IF(TODAY()&gt;E174,"Vencido",IF(E174-TODAY()&lt;=5,"Vence em Breve","A Vencer")))</f>
        <v/>
      </c>
      <c r="H174">
        <f>IF(E174="","",E174-TODAY())</f>
        <v/>
      </c>
    </row>
    <row r="175">
      <c r="A175" s="2" t="n"/>
      <c r="B175" s="2" t="n"/>
      <c r="C175" s="2" t="n"/>
      <c r="D175" s="2" t="n"/>
      <c r="E175" s="2" t="n"/>
      <c r="F175" s="2" t="n"/>
      <c r="G175">
        <f>IF(F175="","",IF(TODAY()&gt;E175,"Vencido",IF(E175-TODAY()&lt;=5,"Vence em Breve","A Vencer")))</f>
        <v/>
      </c>
      <c r="H175">
        <f>IF(E175="","",E175-TODAY())</f>
        <v/>
      </c>
    </row>
    <row r="176">
      <c r="A176" s="2" t="n"/>
      <c r="B176" s="2" t="n"/>
      <c r="C176" s="2" t="n"/>
      <c r="D176" s="2" t="n"/>
      <c r="E176" s="2" t="n"/>
      <c r="F176" s="2" t="n"/>
      <c r="G176">
        <f>IF(F176="","",IF(TODAY()&gt;E176,"Vencido",IF(E176-TODAY()&lt;=5,"Vence em Breve","A Vencer")))</f>
        <v/>
      </c>
      <c r="H176">
        <f>IF(E176="","",E176-TODAY())</f>
        <v/>
      </c>
    </row>
    <row r="177">
      <c r="A177" s="2" t="n"/>
      <c r="B177" s="2" t="n"/>
      <c r="C177" s="2" t="n"/>
      <c r="D177" s="2" t="n"/>
      <c r="E177" s="2" t="n"/>
      <c r="F177" s="2" t="n"/>
      <c r="G177">
        <f>IF(F177="","",IF(TODAY()&gt;E177,"Vencido",IF(E177-TODAY()&lt;=5,"Vence em Breve","A Vencer")))</f>
        <v/>
      </c>
      <c r="H177">
        <f>IF(E177="","",E177-TODAY())</f>
        <v/>
      </c>
    </row>
    <row r="178">
      <c r="A178" s="2" t="n"/>
      <c r="B178" s="2" t="n"/>
      <c r="C178" s="2" t="n"/>
      <c r="D178" s="2" t="n"/>
      <c r="E178" s="2" t="n"/>
      <c r="F178" s="2" t="n"/>
      <c r="G178">
        <f>IF(F178="","",IF(TODAY()&gt;E178,"Vencido",IF(E178-TODAY()&lt;=5,"Vence em Breve","A Vencer")))</f>
        <v/>
      </c>
      <c r="H178">
        <f>IF(E178="","",E178-TODAY())</f>
        <v/>
      </c>
    </row>
    <row r="179">
      <c r="A179" s="2" t="n"/>
      <c r="B179" s="2" t="n"/>
      <c r="C179" s="2" t="n"/>
      <c r="D179" s="2" t="n"/>
      <c r="E179" s="2" t="n"/>
      <c r="F179" s="2" t="n"/>
      <c r="G179">
        <f>IF(F179="","",IF(TODAY()&gt;E179,"Vencido",IF(E179-TODAY()&lt;=5,"Vence em Breve","A Vencer")))</f>
        <v/>
      </c>
      <c r="H179">
        <f>IF(E179="","",E179-TODAY())</f>
        <v/>
      </c>
    </row>
    <row r="180">
      <c r="A180" s="2" t="n"/>
      <c r="B180" s="2" t="n"/>
      <c r="C180" s="2" t="n"/>
      <c r="D180" s="2" t="n"/>
      <c r="E180" s="2" t="n"/>
      <c r="F180" s="2" t="n"/>
      <c r="G180">
        <f>IF(F180="","",IF(TODAY()&gt;E180,"Vencido",IF(E180-TODAY()&lt;=5,"Vence em Breve","A Vencer")))</f>
        <v/>
      </c>
      <c r="H180">
        <f>IF(E180="","",E180-TODAY())</f>
        <v/>
      </c>
    </row>
    <row r="181">
      <c r="A181" s="2" t="n"/>
      <c r="B181" s="2" t="n"/>
      <c r="C181" s="2" t="n"/>
      <c r="D181" s="2" t="n"/>
      <c r="E181" s="2" t="n"/>
      <c r="F181" s="2" t="n"/>
      <c r="G181">
        <f>IF(F181="","",IF(TODAY()&gt;E181,"Vencido",IF(E181-TODAY()&lt;=5,"Vence em Breve","A Vencer")))</f>
        <v/>
      </c>
      <c r="H181">
        <f>IF(E181="","",E181-TODAY())</f>
        <v/>
      </c>
    </row>
    <row r="182">
      <c r="A182" s="2" t="n"/>
      <c r="B182" s="2" t="n"/>
      <c r="C182" s="2" t="n"/>
      <c r="D182" s="2" t="n"/>
      <c r="E182" s="2" t="n"/>
      <c r="F182" s="2" t="n"/>
      <c r="G182">
        <f>IF(F182="","",IF(TODAY()&gt;E182,"Vencido",IF(E182-TODAY()&lt;=5,"Vence em Breve","A Vencer")))</f>
        <v/>
      </c>
      <c r="H182">
        <f>IF(E182="","",E182-TODAY())</f>
        <v/>
      </c>
    </row>
    <row r="183">
      <c r="A183" s="2" t="n"/>
      <c r="B183" s="2" t="n"/>
      <c r="C183" s="2" t="n"/>
      <c r="D183" s="2" t="n"/>
      <c r="E183" s="2" t="n"/>
      <c r="F183" s="2" t="n"/>
      <c r="G183">
        <f>IF(F183="","",IF(TODAY()&gt;E183,"Vencido",IF(E183-TODAY()&lt;=5,"Vence em Breve","A Vencer")))</f>
        <v/>
      </c>
      <c r="H183">
        <f>IF(E183="","",E183-TODAY())</f>
        <v/>
      </c>
    </row>
    <row r="184">
      <c r="A184" s="2" t="n"/>
      <c r="B184" s="2" t="n"/>
      <c r="C184" s="2" t="n"/>
      <c r="D184" s="2" t="n"/>
      <c r="E184" s="2" t="n"/>
      <c r="F184" s="2" t="n"/>
      <c r="G184">
        <f>IF(F184="","",IF(TODAY()&gt;E184,"Vencido",IF(E184-TODAY()&lt;=5,"Vence em Breve","A Vencer")))</f>
        <v/>
      </c>
      <c r="H184">
        <f>IF(E184="","",E184-TODAY())</f>
        <v/>
      </c>
    </row>
    <row r="185">
      <c r="A185" s="2" t="n"/>
      <c r="B185" s="2" t="n"/>
      <c r="C185" s="2" t="n"/>
      <c r="D185" s="2" t="n"/>
      <c r="E185" s="2" t="n"/>
      <c r="F185" s="2" t="n"/>
      <c r="G185">
        <f>IF(F185="","",IF(TODAY()&gt;E185,"Vencido",IF(E185-TODAY()&lt;=5,"Vence em Breve","A Vencer")))</f>
        <v/>
      </c>
      <c r="H185">
        <f>IF(E185="","",E185-TODAY())</f>
        <v/>
      </c>
    </row>
    <row r="186">
      <c r="A186" s="2" t="n"/>
      <c r="B186" s="2" t="n"/>
      <c r="C186" s="2" t="n"/>
      <c r="D186" s="2" t="n"/>
      <c r="E186" s="2" t="n"/>
      <c r="F186" s="2" t="n"/>
      <c r="G186">
        <f>IF(F186="","",IF(TODAY()&gt;E186,"Vencido",IF(E186-TODAY()&lt;=5,"Vence em Breve","A Vencer")))</f>
        <v/>
      </c>
      <c r="H186">
        <f>IF(E186="","",E186-TODAY())</f>
        <v/>
      </c>
    </row>
    <row r="187">
      <c r="A187" s="2" t="n"/>
      <c r="B187" s="2" t="n"/>
      <c r="C187" s="2" t="n"/>
      <c r="D187" s="2" t="n"/>
      <c r="E187" s="2" t="n"/>
      <c r="F187" s="2" t="n"/>
      <c r="G187">
        <f>IF(F187="","",IF(TODAY()&gt;E187,"Vencido",IF(E187-TODAY()&lt;=5,"Vence em Breve","A Vencer")))</f>
        <v/>
      </c>
      <c r="H187">
        <f>IF(E187="","",E187-TODAY())</f>
        <v/>
      </c>
    </row>
    <row r="188">
      <c r="A188" s="2" t="n"/>
      <c r="B188" s="2" t="n"/>
      <c r="C188" s="2" t="n"/>
      <c r="D188" s="2" t="n"/>
      <c r="E188" s="2" t="n"/>
      <c r="F188" s="2" t="n"/>
      <c r="G188">
        <f>IF(F188="","",IF(TODAY()&gt;E188,"Vencido",IF(E188-TODAY()&lt;=5,"Vence em Breve","A Vencer")))</f>
        <v/>
      </c>
      <c r="H188">
        <f>IF(E188="","",E188-TODAY())</f>
        <v/>
      </c>
    </row>
    <row r="189">
      <c r="A189" s="2" t="n"/>
      <c r="B189" s="2" t="n"/>
      <c r="C189" s="2" t="n"/>
      <c r="D189" s="2" t="n"/>
      <c r="E189" s="2" t="n"/>
      <c r="F189" s="2" t="n"/>
      <c r="G189">
        <f>IF(F189="","",IF(TODAY()&gt;E189,"Vencido",IF(E189-TODAY()&lt;=5,"Vence em Breve","A Vencer")))</f>
        <v/>
      </c>
      <c r="H189">
        <f>IF(E189="","",E189-TODAY())</f>
        <v/>
      </c>
    </row>
    <row r="190">
      <c r="A190" s="2" t="n"/>
      <c r="B190" s="2" t="n"/>
      <c r="C190" s="2" t="n"/>
      <c r="D190" s="2" t="n"/>
      <c r="E190" s="2" t="n"/>
      <c r="F190" s="2" t="n"/>
      <c r="G190">
        <f>IF(F190="","",IF(TODAY()&gt;E190,"Vencido",IF(E190-TODAY()&lt;=5,"Vence em Breve","A Vencer")))</f>
        <v/>
      </c>
      <c r="H190">
        <f>IF(E190="","",E190-TODAY())</f>
        <v/>
      </c>
    </row>
    <row r="191">
      <c r="A191" s="2" t="n"/>
      <c r="B191" s="2" t="n"/>
      <c r="C191" s="2" t="n"/>
      <c r="D191" s="2" t="n"/>
      <c r="E191" s="2" t="n"/>
      <c r="F191" s="2" t="n"/>
      <c r="G191">
        <f>IF(F191="","",IF(TODAY()&gt;E191,"Vencido",IF(E191-TODAY()&lt;=5,"Vence em Breve","A Vencer")))</f>
        <v/>
      </c>
      <c r="H191">
        <f>IF(E191="","",E191-TODAY())</f>
        <v/>
      </c>
    </row>
    <row r="192">
      <c r="A192" s="2" t="n"/>
      <c r="B192" s="2" t="n"/>
      <c r="C192" s="2" t="n"/>
      <c r="D192" s="2" t="n"/>
      <c r="E192" s="2" t="n"/>
      <c r="F192" s="2" t="n"/>
      <c r="G192">
        <f>IF(F192="","",IF(TODAY()&gt;E192,"Vencido",IF(E192-TODAY()&lt;=5,"Vence em Breve","A Vencer")))</f>
        <v/>
      </c>
      <c r="H192">
        <f>IF(E192="","",E192-TODAY())</f>
        <v/>
      </c>
    </row>
    <row r="193">
      <c r="A193" s="2" t="n"/>
      <c r="B193" s="2" t="n"/>
      <c r="C193" s="2" t="n"/>
      <c r="D193" s="2" t="n"/>
      <c r="E193" s="2" t="n"/>
      <c r="F193" s="2" t="n"/>
      <c r="G193">
        <f>IF(F193="","",IF(TODAY()&gt;E193,"Vencido",IF(E193-TODAY()&lt;=5,"Vence em Breve","A Vencer")))</f>
        <v/>
      </c>
      <c r="H193">
        <f>IF(E193="","",E193-TODAY())</f>
        <v/>
      </c>
    </row>
    <row r="194">
      <c r="A194" s="2" t="n"/>
      <c r="B194" s="2" t="n"/>
      <c r="C194" s="2" t="n"/>
      <c r="D194" s="2" t="n"/>
      <c r="E194" s="2" t="n"/>
      <c r="F194" s="2" t="n"/>
      <c r="G194">
        <f>IF(F194="","",IF(TODAY()&gt;E194,"Vencido",IF(E194-TODAY()&lt;=5,"Vence em Breve","A Vencer")))</f>
        <v/>
      </c>
      <c r="H194">
        <f>IF(E194="","",E194-TODAY())</f>
        <v/>
      </c>
    </row>
    <row r="195">
      <c r="A195" s="2" t="n"/>
      <c r="B195" s="2" t="n"/>
      <c r="C195" s="2" t="n"/>
      <c r="D195" s="2" t="n"/>
      <c r="E195" s="2" t="n"/>
      <c r="F195" s="2" t="n"/>
      <c r="G195">
        <f>IF(F195="","",IF(TODAY()&gt;E195,"Vencido",IF(E195-TODAY()&lt;=5,"Vence em Breve","A Vencer")))</f>
        <v/>
      </c>
      <c r="H195">
        <f>IF(E195="","",E195-TODAY())</f>
        <v/>
      </c>
    </row>
    <row r="196">
      <c r="A196" s="2" t="n"/>
      <c r="B196" s="2" t="n"/>
      <c r="C196" s="2" t="n"/>
      <c r="D196" s="2" t="n"/>
      <c r="E196" s="2" t="n"/>
      <c r="F196" s="2" t="n"/>
      <c r="G196">
        <f>IF(F196="","",IF(TODAY()&gt;E196,"Vencido",IF(E196-TODAY()&lt;=5,"Vence em Breve","A Vencer")))</f>
        <v/>
      </c>
      <c r="H196">
        <f>IF(E196="","",E196-TODAY())</f>
        <v/>
      </c>
    </row>
    <row r="197">
      <c r="A197" s="2" t="n"/>
      <c r="B197" s="2" t="n"/>
      <c r="C197" s="2" t="n"/>
      <c r="D197" s="2" t="n"/>
      <c r="E197" s="2" t="n"/>
      <c r="F197" s="2" t="n"/>
      <c r="G197">
        <f>IF(F197="","",IF(TODAY()&gt;E197,"Vencido",IF(E197-TODAY()&lt;=5,"Vence em Breve","A Vencer")))</f>
        <v/>
      </c>
      <c r="H197">
        <f>IF(E197="","",E197-TODAY())</f>
        <v/>
      </c>
    </row>
    <row r="198">
      <c r="A198" s="2" t="n"/>
      <c r="B198" s="2" t="n"/>
      <c r="C198" s="2" t="n"/>
      <c r="D198" s="2" t="n"/>
      <c r="E198" s="2" t="n"/>
      <c r="F198" s="2" t="n"/>
      <c r="G198">
        <f>IF(F198="","",IF(TODAY()&gt;E198,"Vencido",IF(E198-TODAY()&lt;=5,"Vence em Breve","A Vencer")))</f>
        <v/>
      </c>
      <c r="H198">
        <f>IF(E198="","",E198-TODAY())</f>
        <v/>
      </c>
    </row>
    <row r="199">
      <c r="A199" s="2" t="n"/>
      <c r="B199" s="2" t="n"/>
      <c r="C199" s="2" t="n"/>
      <c r="D199" s="2" t="n"/>
      <c r="E199" s="2" t="n"/>
      <c r="F199" s="2" t="n"/>
      <c r="G199">
        <f>IF(F199="","",IF(TODAY()&gt;E199,"Vencido",IF(E199-TODAY()&lt;=5,"Vence em Breve","A Vencer")))</f>
        <v/>
      </c>
      <c r="H199">
        <f>IF(E199="","",E199-TODAY())</f>
        <v/>
      </c>
    </row>
    <row r="200">
      <c r="A200" s="2" t="n"/>
      <c r="B200" s="2" t="n"/>
      <c r="C200" s="2" t="n"/>
      <c r="D200" s="2" t="n"/>
      <c r="E200" s="2" t="n"/>
      <c r="F200" s="2" t="n"/>
      <c r="G200">
        <f>IF(F200="","",IF(TODAY()&gt;E200,"Vencido",IF(E200-TODAY()&lt;=5,"Vence em Breve","A Vencer")))</f>
        <v/>
      </c>
      <c r="H200">
        <f>IF(E200="","",E200-TODAY())</f>
        <v/>
      </c>
    </row>
    <row r="201">
      <c r="A201" s="2" t="n"/>
      <c r="B201" s="2" t="n"/>
      <c r="C201" s="2" t="n"/>
      <c r="D201" s="2" t="n"/>
      <c r="E201" s="2" t="n"/>
      <c r="F201" s="2" t="n"/>
      <c r="G201">
        <f>IF(F201="","",IF(TODAY()&gt;E201,"Vencido",IF(E201-TODAY()&lt;=5,"Vence em Breve","A Vencer")))</f>
        <v/>
      </c>
      <c r="H201">
        <f>IF(E201="","",E201-TODAY())</f>
        <v/>
      </c>
    </row>
    <row r="202">
      <c r="A202" s="2" t="n"/>
      <c r="B202" s="2" t="n"/>
      <c r="C202" s="2" t="n"/>
      <c r="D202" s="2" t="n"/>
      <c r="E202" s="2" t="n"/>
      <c r="F202" s="2" t="n"/>
      <c r="G202">
        <f>IF(F202="","",IF(TODAY()&gt;E202,"Vencido",IF(E202-TODAY()&lt;=5,"Vence em Breve","A Vencer")))</f>
        <v/>
      </c>
      <c r="H202">
        <f>IF(E202="","",E202-TODAY())</f>
        <v/>
      </c>
    </row>
    <row r="203">
      <c r="A203" s="2" t="n"/>
      <c r="B203" s="2" t="n"/>
      <c r="C203" s="2" t="n"/>
      <c r="D203" s="2" t="n"/>
      <c r="E203" s="2" t="n"/>
      <c r="F203" s="2" t="n"/>
      <c r="G203">
        <f>IF(F203="","",IF(TODAY()&gt;E203,"Vencido",IF(E203-TODAY()&lt;=5,"Vence em Breve","A Vencer")))</f>
        <v/>
      </c>
      <c r="H203">
        <f>IF(E203="","",E203-TODAY())</f>
        <v/>
      </c>
    </row>
    <row r="204">
      <c r="A204" s="2" t="n"/>
      <c r="B204" s="2" t="n"/>
      <c r="C204" s="2" t="n"/>
      <c r="D204" s="2" t="n"/>
      <c r="E204" s="2" t="n"/>
      <c r="F204" s="2" t="n"/>
      <c r="G204">
        <f>IF(F204="","",IF(TODAY()&gt;E204,"Vencido",IF(E204-TODAY()&lt;=5,"Vence em Breve","A Vencer")))</f>
        <v/>
      </c>
      <c r="H204">
        <f>IF(E204="","",E204-TODAY())</f>
        <v/>
      </c>
    </row>
    <row r="205">
      <c r="A205" s="2" t="n"/>
      <c r="B205" s="2" t="n"/>
      <c r="C205" s="2" t="n"/>
      <c r="D205" s="2" t="n"/>
      <c r="E205" s="2" t="n"/>
      <c r="F205" s="2" t="n"/>
      <c r="G205">
        <f>IF(F205="","",IF(TODAY()&gt;E205,"Vencido",IF(E205-TODAY()&lt;=5,"Vence em Breve","A Vencer")))</f>
        <v/>
      </c>
      <c r="H205">
        <f>IF(E205="","",E205-TODAY())</f>
        <v/>
      </c>
    </row>
    <row r="206">
      <c r="A206" s="2" t="n"/>
      <c r="B206" s="2" t="n"/>
      <c r="C206" s="2" t="n"/>
      <c r="D206" s="2" t="n"/>
      <c r="E206" s="2" t="n"/>
      <c r="F206" s="2" t="n"/>
      <c r="G206">
        <f>IF(F206="","",IF(TODAY()&gt;E206,"Vencido",IF(E206-TODAY()&lt;=5,"Vence em Breve","A Vencer")))</f>
        <v/>
      </c>
      <c r="H206">
        <f>IF(E206="","",E206-TODAY())</f>
        <v/>
      </c>
    </row>
    <row r="207">
      <c r="A207" s="2" t="n"/>
      <c r="B207" s="2" t="n"/>
      <c r="C207" s="2" t="n"/>
      <c r="D207" s="2" t="n"/>
      <c r="E207" s="2" t="n"/>
      <c r="F207" s="2" t="n"/>
      <c r="G207">
        <f>IF(F207="","",IF(TODAY()&gt;E207,"Vencido",IF(E207-TODAY()&lt;=5,"Vence em Breve","A Vencer")))</f>
        <v/>
      </c>
      <c r="H207">
        <f>IF(E207="","",E207-TODAY())</f>
        <v/>
      </c>
    </row>
    <row r="208">
      <c r="A208" s="2" t="n"/>
      <c r="B208" s="2" t="n"/>
      <c r="C208" s="2" t="n"/>
      <c r="D208" s="2" t="n"/>
      <c r="E208" s="2" t="n"/>
      <c r="F208" s="2" t="n"/>
      <c r="G208">
        <f>IF(F208="","",IF(TODAY()&gt;E208,"Vencido",IF(E208-TODAY()&lt;=5,"Vence em Breve","A Vencer")))</f>
        <v/>
      </c>
      <c r="H208">
        <f>IF(E208="","",E208-TODAY())</f>
        <v/>
      </c>
    </row>
    <row r="209">
      <c r="A209" s="2" t="n"/>
      <c r="B209" s="2" t="n"/>
      <c r="C209" s="2" t="n"/>
      <c r="D209" s="2" t="n"/>
      <c r="E209" s="2" t="n"/>
      <c r="F209" s="2" t="n"/>
      <c r="G209">
        <f>IF(F209="","",IF(TODAY()&gt;E209,"Vencido",IF(E209-TODAY()&lt;=5,"Vence em Breve","A Vencer")))</f>
        <v/>
      </c>
      <c r="H209">
        <f>IF(E209="","",E209-TODAY())</f>
        <v/>
      </c>
    </row>
    <row r="210">
      <c r="A210" s="2" t="n"/>
      <c r="B210" s="2" t="n"/>
      <c r="C210" s="2" t="n"/>
      <c r="D210" s="2" t="n"/>
      <c r="E210" s="2" t="n"/>
      <c r="F210" s="2" t="n"/>
      <c r="G210">
        <f>IF(F210="","",IF(TODAY()&gt;E210,"Vencido",IF(E210-TODAY()&lt;=5,"Vence em Breve","A Vencer")))</f>
        <v/>
      </c>
      <c r="H210">
        <f>IF(E210="","",E210-TODAY())</f>
        <v/>
      </c>
    </row>
    <row r="211">
      <c r="A211" s="2" t="n"/>
      <c r="B211" s="2" t="n"/>
      <c r="C211" s="2" t="n"/>
      <c r="D211" s="2" t="n"/>
      <c r="E211" s="2" t="n"/>
      <c r="F211" s="2" t="n"/>
      <c r="G211">
        <f>IF(F211="","",IF(TODAY()&gt;E211,"Vencido",IF(E211-TODAY()&lt;=5,"Vence em Breve","A Vencer")))</f>
        <v/>
      </c>
      <c r="H211">
        <f>IF(E211="","",E211-TODAY())</f>
        <v/>
      </c>
    </row>
    <row r="212">
      <c r="A212" s="2" t="n"/>
      <c r="B212" s="2" t="n"/>
      <c r="C212" s="2" t="n"/>
      <c r="D212" s="2" t="n"/>
      <c r="E212" s="2" t="n"/>
      <c r="F212" s="2" t="n"/>
      <c r="G212">
        <f>IF(F212="","",IF(TODAY()&gt;E212,"Vencido",IF(E212-TODAY()&lt;=5,"Vence em Breve","A Vencer")))</f>
        <v/>
      </c>
      <c r="H212">
        <f>IF(E212="","",E212-TODAY())</f>
        <v/>
      </c>
    </row>
    <row r="213">
      <c r="A213" s="2" t="n"/>
      <c r="B213" s="2" t="n"/>
      <c r="C213" s="2" t="n"/>
      <c r="D213" s="2" t="n"/>
      <c r="E213" s="2" t="n"/>
      <c r="F213" s="2" t="n"/>
      <c r="G213">
        <f>IF(F213="","",IF(TODAY()&gt;E213,"Vencido",IF(E213-TODAY()&lt;=5,"Vence em Breve","A Vencer")))</f>
        <v/>
      </c>
      <c r="H213">
        <f>IF(E213="","",E213-TODAY())</f>
        <v/>
      </c>
    </row>
    <row r="214">
      <c r="A214" s="2" t="n"/>
      <c r="B214" s="2" t="n"/>
      <c r="C214" s="2" t="n"/>
      <c r="D214" s="2" t="n"/>
      <c r="E214" s="2" t="n"/>
      <c r="F214" s="2" t="n"/>
      <c r="G214">
        <f>IF(F214="","",IF(TODAY()&gt;E214,"Vencido",IF(E214-TODAY()&lt;=5,"Vence em Breve","A Vencer")))</f>
        <v/>
      </c>
      <c r="H214">
        <f>IF(E214="","",E214-TODAY())</f>
        <v/>
      </c>
    </row>
    <row r="215">
      <c r="A215" s="2" t="n"/>
      <c r="B215" s="2" t="n"/>
      <c r="C215" s="2" t="n"/>
      <c r="D215" s="2" t="n"/>
      <c r="E215" s="2" t="n"/>
      <c r="F215" s="2" t="n"/>
      <c r="G215">
        <f>IF(F215="","",IF(TODAY()&gt;E215,"Vencido",IF(E215-TODAY()&lt;=5,"Vence em Breve","A Vencer")))</f>
        <v/>
      </c>
      <c r="H215">
        <f>IF(E215="","",E215-TODAY())</f>
        <v/>
      </c>
    </row>
    <row r="216">
      <c r="A216" s="2" t="n"/>
      <c r="B216" s="2" t="n"/>
      <c r="C216" s="2" t="n"/>
      <c r="D216" s="2" t="n"/>
      <c r="E216" s="2" t="n"/>
      <c r="F216" s="2" t="n"/>
      <c r="G216">
        <f>IF(F216="","",IF(TODAY()&gt;E216,"Vencido",IF(E216-TODAY()&lt;=5,"Vence em Breve","A Vencer")))</f>
        <v/>
      </c>
      <c r="H216">
        <f>IF(E216="","",E216-TODAY())</f>
        <v/>
      </c>
    </row>
    <row r="217">
      <c r="A217" s="2" t="n"/>
      <c r="B217" s="2" t="n"/>
      <c r="C217" s="2" t="n"/>
      <c r="D217" s="2" t="n"/>
      <c r="E217" s="2" t="n"/>
      <c r="F217" s="2" t="n"/>
      <c r="G217">
        <f>IF(F217="","",IF(TODAY()&gt;E217,"Vencido",IF(E217-TODAY()&lt;=5,"Vence em Breve","A Vencer")))</f>
        <v/>
      </c>
      <c r="H217">
        <f>IF(E217="","",E217-TODAY())</f>
        <v/>
      </c>
    </row>
    <row r="218">
      <c r="A218" s="2" t="n"/>
      <c r="B218" s="2" t="n"/>
      <c r="C218" s="2" t="n"/>
      <c r="D218" s="2" t="n"/>
      <c r="E218" s="2" t="n"/>
      <c r="F218" s="2" t="n"/>
      <c r="G218">
        <f>IF(F218="","",IF(TODAY()&gt;E218,"Vencido",IF(E218-TODAY()&lt;=5,"Vence em Breve","A Vencer")))</f>
        <v/>
      </c>
      <c r="H218">
        <f>IF(E218="","",E218-TODAY())</f>
        <v/>
      </c>
    </row>
    <row r="219">
      <c r="A219" s="2" t="n"/>
      <c r="B219" s="2" t="n"/>
      <c r="C219" s="2" t="n"/>
      <c r="D219" s="2" t="n"/>
      <c r="E219" s="2" t="n"/>
      <c r="F219" s="2" t="n"/>
      <c r="G219">
        <f>IF(F219="","",IF(TODAY()&gt;E219,"Vencido",IF(E219-TODAY()&lt;=5,"Vence em Breve","A Vencer")))</f>
        <v/>
      </c>
      <c r="H219">
        <f>IF(E219="","",E219-TODAY())</f>
        <v/>
      </c>
    </row>
    <row r="220">
      <c r="A220" s="2" t="n"/>
      <c r="B220" s="2" t="n"/>
      <c r="C220" s="2" t="n"/>
      <c r="D220" s="2" t="n"/>
      <c r="E220" s="2" t="n"/>
      <c r="F220" s="2" t="n"/>
      <c r="G220">
        <f>IF(F220="","",IF(TODAY()&gt;E220,"Vencido",IF(E220-TODAY()&lt;=5,"Vence em Breve","A Vencer")))</f>
        <v/>
      </c>
      <c r="H220">
        <f>IF(E220="","",E220-TODAY())</f>
        <v/>
      </c>
    </row>
    <row r="221">
      <c r="A221" s="2" t="n"/>
      <c r="B221" s="2" t="n"/>
      <c r="C221" s="2" t="n"/>
      <c r="D221" s="2" t="n"/>
      <c r="E221" s="2" t="n"/>
      <c r="F221" s="2" t="n"/>
      <c r="G221">
        <f>IF(F221="","",IF(TODAY()&gt;E221,"Vencido",IF(E221-TODAY()&lt;=5,"Vence em Breve","A Vencer")))</f>
        <v/>
      </c>
      <c r="H221">
        <f>IF(E221="","",E221-TODAY())</f>
        <v/>
      </c>
    </row>
    <row r="222">
      <c r="A222" s="2" t="n"/>
      <c r="B222" s="2" t="n"/>
      <c r="C222" s="2" t="n"/>
      <c r="D222" s="2" t="n"/>
      <c r="E222" s="2" t="n"/>
      <c r="F222" s="2" t="n"/>
      <c r="G222">
        <f>IF(F222="","",IF(TODAY()&gt;E222,"Vencido",IF(E222-TODAY()&lt;=5,"Vence em Breve","A Vencer")))</f>
        <v/>
      </c>
      <c r="H222">
        <f>IF(E222="","",E222-TODAY())</f>
        <v/>
      </c>
    </row>
    <row r="223">
      <c r="A223" s="2" t="n"/>
      <c r="B223" s="2" t="n"/>
      <c r="C223" s="2" t="n"/>
      <c r="D223" s="2" t="n"/>
      <c r="E223" s="2" t="n"/>
      <c r="F223" s="2" t="n"/>
      <c r="G223">
        <f>IF(F223="","",IF(TODAY()&gt;E223,"Vencido",IF(E223-TODAY()&lt;=5,"Vence em Breve","A Vencer")))</f>
        <v/>
      </c>
      <c r="H223">
        <f>IF(E223="","",E223-TODAY())</f>
        <v/>
      </c>
    </row>
    <row r="224">
      <c r="A224" s="2" t="n"/>
      <c r="B224" s="2" t="n"/>
      <c r="C224" s="2" t="n"/>
      <c r="D224" s="2" t="n"/>
      <c r="E224" s="2" t="n"/>
      <c r="F224" s="2" t="n"/>
      <c r="G224">
        <f>IF(F224="","",IF(TODAY()&gt;E224,"Vencido",IF(E224-TODAY()&lt;=5,"Vence em Breve","A Vencer")))</f>
        <v/>
      </c>
      <c r="H224">
        <f>IF(E224="","",E224-TODAY())</f>
        <v/>
      </c>
    </row>
    <row r="225">
      <c r="A225" s="2" t="n"/>
      <c r="B225" s="2" t="n"/>
      <c r="C225" s="2" t="n"/>
      <c r="D225" s="2" t="n"/>
      <c r="E225" s="2" t="n"/>
      <c r="F225" s="2" t="n"/>
      <c r="G225">
        <f>IF(F225="","",IF(TODAY()&gt;E225,"Vencido",IF(E225-TODAY()&lt;=5,"Vence em Breve","A Vencer")))</f>
        <v/>
      </c>
      <c r="H225">
        <f>IF(E225="","",E225-TODAY())</f>
        <v/>
      </c>
    </row>
    <row r="226">
      <c r="A226" s="2" t="n"/>
      <c r="B226" s="2" t="n"/>
      <c r="C226" s="2" t="n"/>
      <c r="D226" s="2" t="n"/>
      <c r="E226" s="2" t="n"/>
      <c r="F226" s="2" t="n"/>
      <c r="G226">
        <f>IF(F226="","",IF(TODAY()&gt;E226,"Vencido",IF(E226-TODAY()&lt;=5,"Vence em Breve","A Vencer")))</f>
        <v/>
      </c>
      <c r="H226">
        <f>IF(E226="","",E226-TODAY())</f>
        <v/>
      </c>
    </row>
    <row r="227">
      <c r="A227" s="2" t="n"/>
      <c r="B227" s="2" t="n"/>
      <c r="C227" s="2" t="n"/>
      <c r="D227" s="2" t="n"/>
      <c r="E227" s="2" t="n"/>
      <c r="F227" s="2" t="n"/>
      <c r="G227">
        <f>IF(F227="","",IF(TODAY()&gt;E227,"Vencido",IF(E227-TODAY()&lt;=5,"Vence em Breve","A Vencer")))</f>
        <v/>
      </c>
      <c r="H227">
        <f>IF(E227="","",E227-TODAY())</f>
        <v/>
      </c>
    </row>
    <row r="228">
      <c r="A228" s="2" t="n"/>
      <c r="B228" s="2" t="n"/>
      <c r="C228" s="2" t="n"/>
      <c r="D228" s="2" t="n"/>
      <c r="E228" s="2" t="n"/>
      <c r="F228" s="2" t="n"/>
      <c r="G228">
        <f>IF(F228="","",IF(TODAY()&gt;E228,"Vencido",IF(E228-TODAY()&lt;=5,"Vence em Breve","A Vencer")))</f>
        <v/>
      </c>
      <c r="H228">
        <f>IF(E228="","",E228-TODAY())</f>
        <v/>
      </c>
    </row>
    <row r="229">
      <c r="A229" s="2" t="n"/>
      <c r="B229" s="2" t="n"/>
      <c r="C229" s="2" t="n"/>
      <c r="D229" s="2" t="n"/>
      <c r="E229" s="2" t="n"/>
      <c r="F229" s="2" t="n"/>
      <c r="G229">
        <f>IF(F229="","",IF(TODAY()&gt;E229,"Vencido",IF(E229-TODAY()&lt;=5,"Vence em Breve","A Vencer")))</f>
        <v/>
      </c>
      <c r="H229">
        <f>IF(E229="","",E229-TODAY())</f>
        <v/>
      </c>
    </row>
    <row r="230">
      <c r="A230" s="2" t="n"/>
      <c r="B230" s="2" t="n"/>
      <c r="C230" s="2" t="n"/>
      <c r="D230" s="2" t="n"/>
      <c r="E230" s="2" t="n"/>
      <c r="F230" s="2" t="n"/>
      <c r="G230">
        <f>IF(F230="","",IF(TODAY()&gt;E230,"Vencido",IF(E230-TODAY()&lt;=5,"Vence em Breve","A Vencer")))</f>
        <v/>
      </c>
      <c r="H230">
        <f>IF(E230="","",E230-TODAY())</f>
        <v/>
      </c>
    </row>
    <row r="231">
      <c r="A231" s="2" t="n"/>
      <c r="B231" s="2" t="n"/>
      <c r="C231" s="2" t="n"/>
      <c r="D231" s="2" t="n"/>
      <c r="E231" s="2" t="n"/>
      <c r="F231" s="2" t="n"/>
      <c r="G231">
        <f>IF(F231="","",IF(TODAY()&gt;E231,"Vencido",IF(E231-TODAY()&lt;=5,"Vence em Breve","A Vencer")))</f>
        <v/>
      </c>
      <c r="H231">
        <f>IF(E231="","",E231-TODAY())</f>
        <v/>
      </c>
    </row>
    <row r="232">
      <c r="A232" s="2" t="n"/>
      <c r="B232" s="2" t="n"/>
      <c r="C232" s="2" t="n"/>
      <c r="D232" s="2" t="n"/>
      <c r="E232" s="2" t="n"/>
      <c r="F232" s="2" t="n"/>
      <c r="G232">
        <f>IF(F232="","",IF(TODAY()&gt;E232,"Vencido",IF(E232-TODAY()&lt;=5,"Vence em Breve","A Vencer")))</f>
        <v/>
      </c>
      <c r="H232">
        <f>IF(E232="","",E232-TODAY())</f>
        <v/>
      </c>
    </row>
    <row r="233">
      <c r="A233" s="2" t="n"/>
      <c r="B233" s="2" t="n"/>
      <c r="C233" s="2" t="n"/>
      <c r="D233" s="2" t="n"/>
      <c r="E233" s="2" t="n"/>
      <c r="F233" s="2" t="n"/>
      <c r="G233">
        <f>IF(F233="","",IF(TODAY()&gt;E233,"Vencido",IF(E233-TODAY()&lt;=5,"Vence em Breve","A Vencer")))</f>
        <v/>
      </c>
      <c r="H233">
        <f>IF(E233="","",E233-TODAY())</f>
        <v/>
      </c>
    </row>
    <row r="234">
      <c r="A234" s="2" t="n"/>
      <c r="B234" s="2" t="n"/>
      <c r="C234" s="2" t="n"/>
      <c r="D234" s="2" t="n"/>
      <c r="E234" s="2" t="n"/>
      <c r="F234" s="2" t="n"/>
      <c r="G234">
        <f>IF(F234="","",IF(TODAY()&gt;E234,"Vencido",IF(E234-TODAY()&lt;=5,"Vence em Breve","A Vencer")))</f>
        <v/>
      </c>
      <c r="H234">
        <f>IF(E234="","",E234-TODAY())</f>
        <v/>
      </c>
    </row>
    <row r="235">
      <c r="A235" s="2" t="n"/>
      <c r="B235" s="2" t="n"/>
      <c r="C235" s="2" t="n"/>
      <c r="D235" s="2" t="n"/>
      <c r="E235" s="2" t="n"/>
      <c r="F235" s="2" t="n"/>
      <c r="G235">
        <f>IF(F235="","",IF(TODAY()&gt;E235,"Vencido",IF(E235-TODAY()&lt;=5,"Vence em Breve","A Vencer")))</f>
        <v/>
      </c>
      <c r="H235">
        <f>IF(E235="","",E235-TODAY())</f>
        <v/>
      </c>
    </row>
    <row r="236">
      <c r="A236" s="2" t="n"/>
      <c r="B236" s="2" t="n"/>
      <c r="C236" s="2" t="n"/>
      <c r="D236" s="2" t="n"/>
      <c r="E236" s="2" t="n"/>
      <c r="F236" s="2" t="n"/>
      <c r="G236">
        <f>IF(F236="","",IF(TODAY()&gt;E236,"Vencido",IF(E236-TODAY()&lt;=5,"Vence em Breve","A Vencer")))</f>
        <v/>
      </c>
      <c r="H236">
        <f>IF(E236="","",E236-TODAY())</f>
        <v/>
      </c>
    </row>
    <row r="237">
      <c r="A237" s="2" t="n"/>
      <c r="B237" s="2" t="n"/>
      <c r="C237" s="2" t="n"/>
      <c r="D237" s="2" t="n"/>
      <c r="E237" s="2" t="n"/>
      <c r="F237" s="2" t="n"/>
      <c r="G237">
        <f>IF(F237="","",IF(TODAY()&gt;E237,"Vencido",IF(E237-TODAY()&lt;=5,"Vence em Breve","A Vencer")))</f>
        <v/>
      </c>
      <c r="H237">
        <f>IF(E237="","",E237-TODAY())</f>
        <v/>
      </c>
    </row>
    <row r="238">
      <c r="A238" s="2" t="n"/>
      <c r="B238" s="2" t="n"/>
      <c r="C238" s="2" t="n"/>
      <c r="D238" s="2" t="n"/>
      <c r="E238" s="2" t="n"/>
      <c r="F238" s="2" t="n"/>
      <c r="G238">
        <f>IF(F238="","",IF(TODAY()&gt;E238,"Vencido",IF(E238-TODAY()&lt;=5,"Vence em Breve","A Vencer")))</f>
        <v/>
      </c>
      <c r="H238">
        <f>IF(E238="","",E238-TODAY())</f>
        <v/>
      </c>
    </row>
    <row r="239">
      <c r="A239" s="2" t="n"/>
      <c r="B239" s="2" t="n"/>
      <c r="C239" s="2" t="n"/>
      <c r="D239" s="2" t="n"/>
      <c r="E239" s="2" t="n"/>
      <c r="F239" s="2" t="n"/>
      <c r="G239">
        <f>IF(F239="","",IF(TODAY()&gt;E239,"Vencido",IF(E239-TODAY()&lt;=5,"Vence em Breve","A Vencer")))</f>
        <v/>
      </c>
      <c r="H239">
        <f>IF(E239="","",E239-TODAY())</f>
        <v/>
      </c>
    </row>
    <row r="240">
      <c r="A240" s="2" t="n"/>
      <c r="B240" s="2" t="n"/>
      <c r="C240" s="2" t="n"/>
      <c r="D240" s="2" t="n"/>
      <c r="E240" s="2" t="n"/>
      <c r="F240" s="2" t="n"/>
      <c r="G240">
        <f>IF(F240="","",IF(TODAY()&gt;E240,"Vencido",IF(E240-TODAY()&lt;=5,"Vence em Breve","A Vencer")))</f>
        <v/>
      </c>
      <c r="H240">
        <f>IF(E240="","",E240-TODAY())</f>
        <v/>
      </c>
    </row>
    <row r="241">
      <c r="A241" s="2" t="n"/>
      <c r="B241" s="2" t="n"/>
      <c r="C241" s="2" t="n"/>
      <c r="D241" s="2" t="n"/>
      <c r="E241" s="2" t="n"/>
      <c r="F241" s="2" t="n"/>
      <c r="G241">
        <f>IF(F241="","",IF(TODAY()&gt;E241,"Vencido",IF(E241-TODAY()&lt;=5,"Vence em Breve","A Vencer")))</f>
        <v/>
      </c>
      <c r="H241">
        <f>IF(E241="","",E241-TODAY())</f>
        <v/>
      </c>
    </row>
    <row r="242">
      <c r="A242" s="2" t="n"/>
      <c r="B242" s="2" t="n"/>
      <c r="C242" s="2" t="n"/>
      <c r="D242" s="2" t="n"/>
      <c r="E242" s="2" t="n"/>
      <c r="F242" s="2" t="n"/>
      <c r="G242">
        <f>IF(F242="","",IF(TODAY()&gt;E242,"Vencido",IF(E242-TODAY()&lt;=5,"Vence em Breve","A Vencer")))</f>
        <v/>
      </c>
      <c r="H242">
        <f>IF(E242="","",E242-TODAY())</f>
        <v/>
      </c>
    </row>
    <row r="243">
      <c r="A243" s="2" t="n"/>
      <c r="B243" s="2" t="n"/>
      <c r="C243" s="2" t="n"/>
      <c r="D243" s="2" t="n"/>
      <c r="E243" s="2" t="n"/>
      <c r="F243" s="2" t="n"/>
      <c r="G243">
        <f>IF(F243="","",IF(TODAY()&gt;E243,"Vencido",IF(E243-TODAY()&lt;=5,"Vence em Breve","A Vencer")))</f>
        <v/>
      </c>
      <c r="H243">
        <f>IF(E243="","",E243-TODAY())</f>
        <v/>
      </c>
    </row>
    <row r="244">
      <c r="A244" s="2" t="n"/>
      <c r="B244" s="2" t="n"/>
      <c r="C244" s="2" t="n"/>
      <c r="D244" s="2" t="n"/>
      <c r="E244" s="2" t="n"/>
      <c r="F244" s="2" t="n"/>
      <c r="G244">
        <f>IF(F244="","",IF(TODAY()&gt;E244,"Vencido",IF(E244-TODAY()&lt;=5,"Vence em Breve","A Vencer")))</f>
        <v/>
      </c>
      <c r="H244">
        <f>IF(E244="","",E244-TODAY())</f>
        <v/>
      </c>
    </row>
    <row r="245">
      <c r="A245" s="2" t="n"/>
      <c r="B245" s="2" t="n"/>
      <c r="C245" s="2" t="n"/>
      <c r="D245" s="2" t="n"/>
      <c r="E245" s="2" t="n"/>
      <c r="F245" s="2" t="n"/>
      <c r="G245">
        <f>IF(F245="","",IF(TODAY()&gt;E245,"Vencido",IF(E245-TODAY()&lt;=5,"Vence em Breve","A Vencer")))</f>
        <v/>
      </c>
      <c r="H245">
        <f>IF(E245="","",E245-TODAY())</f>
        <v/>
      </c>
    </row>
    <row r="246">
      <c r="A246" s="2" t="n"/>
      <c r="B246" s="2" t="n"/>
      <c r="C246" s="2" t="n"/>
      <c r="D246" s="2" t="n"/>
      <c r="E246" s="2" t="n"/>
      <c r="F246" s="2" t="n"/>
      <c r="G246">
        <f>IF(F246="","",IF(TODAY()&gt;E246,"Vencido",IF(E246-TODAY()&lt;=5,"Vence em Breve","A Vencer")))</f>
        <v/>
      </c>
      <c r="H246">
        <f>IF(E246="","",E246-TODAY())</f>
        <v/>
      </c>
    </row>
    <row r="247">
      <c r="A247" s="2" t="n"/>
      <c r="B247" s="2" t="n"/>
      <c r="C247" s="2" t="n"/>
      <c r="D247" s="2" t="n"/>
      <c r="E247" s="2" t="n"/>
      <c r="F247" s="2" t="n"/>
      <c r="G247">
        <f>IF(F247="","",IF(TODAY()&gt;E247,"Vencido",IF(E247-TODAY()&lt;=5,"Vence em Breve","A Vencer")))</f>
        <v/>
      </c>
      <c r="H247">
        <f>IF(E247="","",E247-TODAY())</f>
        <v/>
      </c>
    </row>
    <row r="248">
      <c r="A248" s="2" t="n"/>
      <c r="B248" s="2" t="n"/>
      <c r="C248" s="2" t="n"/>
      <c r="D248" s="2" t="n"/>
      <c r="E248" s="2" t="n"/>
      <c r="F248" s="2" t="n"/>
      <c r="G248">
        <f>IF(F248="","",IF(TODAY()&gt;E248,"Vencido",IF(E248-TODAY()&lt;=5,"Vence em Breve","A Vencer")))</f>
        <v/>
      </c>
      <c r="H248">
        <f>IF(E248="","",E248-TODAY())</f>
        <v/>
      </c>
    </row>
    <row r="249">
      <c r="A249" s="2" t="n"/>
      <c r="B249" s="2" t="n"/>
      <c r="C249" s="2" t="n"/>
      <c r="D249" s="2" t="n"/>
      <c r="E249" s="2" t="n"/>
      <c r="F249" s="2" t="n"/>
      <c r="G249">
        <f>IF(F249="","",IF(TODAY()&gt;E249,"Vencido",IF(E249-TODAY()&lt;=5,"Vence em Breve","A Vencer")))</f>
        <v/>
      </c>
      <c r="H249">
        <f>IF(E249="","",E249-TODAY())</f>
        <v/>
      </c>
    </row>
    <row r="250">
      <c r="A250" s="2" t="n"/>
      <c r="B250" s="2" t="n"/>
      <c r="C250" s="2" t="n"/>
      <c r="D250" s="2" t="n"/>
      <c r="E250" s="2" t="n"/>
      <c r="F250" s="2" t="n"/>
      <c r="G250">
        <f>IF(F250="","",IF(TODAY()&gt;E250,"Vencido",IF(E250-TODAY()&lt;=5,"Vence em Breve","A Vencer")))</f>
        <v/>
      </c>
      <c r="H250">
        <f>IF(E250="","",E250-TODAY())</f>
        <v/>
      </c>
    </row>
    <row r="251">
      <c r="A251" s="2" t="n"/>
      <c r="B251" s="2" t="n"/>
      <c r="C251" s="2" t="n"/>
      <c r="D251" s="2" t="n"/>
      <c r="E251" s="2" t="n"/>
      <c r="F251" s="2" t="n"/>
      <c r="G251">
        <f>IF(F251="","",IF(TODAY()&gt;E251,"Vencido",IF(E251-TODAY()&lt;=5,"Vence em Breve","A Vencer")))</f>
        <v/>
      </c>
      <c r="H251">
        <f>IF(E251="","",E251-TODAY())</f>
        <v/>
      </c>
    </row>
    <row r="252">
      <c r="A252" s="2" t="n"/>
      <c r="B252" s="2" t="n"/>
      <c r="C252" s="2" t="n"/>
      <c r="D252" s="2" t="n"/>
      <c r="E252" s="2" t="n"/>
      <c r="F252" s="2" t="n"/>
      <c r="G252">
        <f>IF(F252="","",IF(TODAY()&gt;E252,"Vencido",IF(E252-TODAY()&lt;=5,"Vence em Breve","A Vencer")))</f>
        <v/>
      </c>
      <c r="H252">
        <f>IF(E252="","",E252-TODAY())</f>
        <v/>
      </c>
    </row>
    <row r="253">
      <c r="A253" s="2" t="n"/>
      <c r="B253" s="2" t="n"/>
      <c r="C253" s="2" t="n"/>
      <c r="D253" s="2" t="n"/>
      <c r="E253" s="2" t="n"/>
      <c r="F253" s="2" t="n"/>
      <c r="G253">
        <f>IF(F253="","",IF(TODAY()&gt;E253,"Vencido",IF(E253-TODAY()&lt;=5,"Vence em Breve","A Vencer")))</f>
        <v/>
      </c>
      <c r="H253">
        <f>IF(E253="","",E253-TODAY())</f>
        <v/>
      </c>
    </row>
    <row r="254">
      <c r="A254" s="2" t="n"/>
      <c r="B254" s="2" t="n"/>
      <c r="C254" s="2" t="n"/>
      <c r="D254" s="2" t="n"/>
      <c r="E254" s="2" t="n"/>
      <c r="F254" s="2" t="n"/>
      <c r="G254">
        <f>IF(F254="","",IF(TODAY()&gt;E254,"Vencido",IF(E254-TODAY()&lt;=5,"Vence em Breve","A Vencer")))</f>
        <v/>
      </c>
      <c r="H254">
        <f>IF(E254="","",E254-TODAY())</f>
        <v/>
      </c>
    </row>
    <row r="255">
      <c r="A255" s="2" t="n"/>
      <c r="B255" s="2" t="n"/>
      <c r="C255" s="2" t="n"/>
      <c r="D255" s="2" t="n"/>
      <c r="E255" s="2" t="n"/>
      <c r="F255" s="2" t="n"/>
      <c r="G255">
        <f>IF(F255="","",IF(TODAY()&gt;E255,"Vencido",IF(E255-TODAY()&lt;=5,"Vence em Breve","A Vencer")))</f>
        <v/>
      </c>
      <c r="H255">
        <f>IF(E255="","",E255-TODAY())</f>
        <v/>
      </c>
    </row>
    <row r="256">
      <c r="A256" s="2" t="n"/>
      <c r="B256" s="2" t="n"/>
      <c r="C256" s="2" t="n"/>
      <c r="D256" s="2" t="n"/>
      <c r="E256" s="2" t="n"/>
      <c r="F256" s="2" t="n"/>
      <c r="G256">
        <f>IF(F256="","",IF(TODAY()&gt;E256,"Vencido",IF(E256-TODAY()&lt;=5,"Vence em Breve","A Vencer")))</f>
        <v/>
      </c>
      <c r="H256">
        <f>IF(E256="","",E256-TODAY())</f>
        <v/>
      </c>
    </row>
    <row r="257">
      <c r="A257" s="2" t="n"/>
      <c r="B257" s="2" t="n"/>
      <c r="C257" s="2" t="n"/>
      <c r="D257" s="2" t="n"/>
      <c r="E257" s="2" t="n"/>
      <c r="F257" s="2" t="n"/>
      <c r="G257">
        <f>IF(F257="","",IF(TODAY()&gt;E257,"Vencido",IF(E257-TODAY()&lt;=5,"Vence em Breve","A Vencer")))</f>
        <v/>
      </c>
      <c r="H257">
        <f>IF(E257="","",E257-TODAY())</f>
        <v/>
      </c>
    </row>
    <row r="258">
      <c r="A258" s="2" t="n"/>
      <c r="B258" s="2" t="n"/>
      <c r="C258" s="2" t="n"/>
      <c r="D258" s="2" t="n"/>
      <c r="E258" s="2" t="n"/>
      <c r="F258" s="2" t="n"/>
      <c r="G258">
        <f>IF(F258="","",IF(TODAY()&gt;E258,"Vencido",IF(E258-TODAY()&lt;=5,"Vence em Breve","A Vencer")))</f>
        <v/>
      </c>
      <c r="H258">
        <f>IF(E258="","",E258-TODAY())</f>
        <v/>
      </c>
    </row>
    <row r="259">
      <c r="A259" s="2" t="n"/>
      <c r="B259" s="2" t="n"/>
      <c r="C259" s="2" t="n"/>
      <c r="D259" s="2" t="n"/>
      <c r="E259" s="2" t="n"/>
      <c r="F259" s="2" t="n"/>
      <c r="G259">
        <f>IF(F259="","",IF(TODAY()&gt;E259,"Vencido",IF(E259-TODAY()&lt;=5,"Vence em Breve","A Vencer")))</f>
        <v/>
      </c>
      <c r="H259">
        <f>IF(E259="","",E259-TODAY())</f>
        <v/>
      </c>
    </row>
    <row r="260">
      <c r="A260" s="2" t="n"/>
      <c r="B260" s="2" t="n"/>
      <c r="C260" s="2" t="n"/>
      <c r="D260" s="2" t="n"/>
      <c r="E260" s="2" t="n"/>
      <c r="F260" s="2" t="n"/>
      <c r="G260">
        <f>IF(F260="","",IF(TODAY()&gt;E260,"Vencido",IF(E260-TODAY()&lt;=5,"Vence em Breve","A Vencer")))</f>
        <v/>
      </c>
      <c r="H260">
        <f>IF(E260="","",E260-TODAY())</f>
        <v/>
      </c>
    </row>
    <row r="261">
      <c r="A261" s="2" t="n"/>
      <c r="B261" s="2" t="n"/>
      <c r="C261" s="2" t="n"/>
      <c r="D261" s="2" t="n"/>
      <c r="E261" s="2" t="n"/>
      <c r="F261" s="2" t="n"/>
      <c r="G261">
        <f>IF(F261="","",IF(TODAY()&gt;E261,"Vencido",IF(E261-TODAY()&lt;=5,"Vence em Breve","A Vencer")))</f>
        <v/>
      </c>
      <c r="H261">
        <f>IF(E261="","",E261-TODAY())</f>
        <v/>
      </c>
    </row>
    <row r="262">
      <c r="A262" s="2" t="n"/>
      <c r="B262" s="2" t="n"/>
      <c r="C262" s="2" t="n"/>
      <c r="D262" s="2" t="n"/>
      <c r="E262" s="2" t="n"/>
      <c r="F262" s="2" t="n"/>
      <c r="G262">
        <f>IF(F262="","",IF(TODAY()&gt;E262,"Vencido",IF(E262-TODAY()&lt;=5,"Vence em Breve","A Vencer")))</f>
        <v/>
      </c>
      <c r="H262">
        <f>IF(E262="","",E262-TODAY())</f>
        <v/>
      </c>
    </row>
    <row r="263">
      <c r="A263" s="2" t="n"/>
      <c r="B263" s="2" t="n"/>
      <c r="C263" s="2" t="n"/>
      <c r="D263" s="2" t="n"/>
      <c r="E263" s="2" t="n"/>
      <c r="F263" s="2" t="n"/>
      <c r="G263">
        <f>IF(F263="","",IF(TODAY()&gt;E263,"Vencido",IF(E263-TODAY()&lt;=5,"Vence em Breve","A Vencer")))</f>
        <v/>
      </c>
      <c r="H263">
        <f>IF(E263="","",E263-TODAY())</f>
        <v/>
      </c>
    </row>
    <row r="264">
      <c r="A264" s="2" t="n"/>
      <c r="B264" s="2" t="n"/>
      <c r="C264" s="2" t="n"/>
      <c r="D264" s="2" t="n"/>
      <c r="E264" s="2" t="n"/>
      <c r="F264" s="2" t="n"/>
      <c r="G264">
        <f>IF(F264="","",IF(TODAY()&gt;E264,"Vencido",IF(E264-TODAY()&lt;=5,"Vence em Breve","A Vencer")))</f>
        <v/>
      </c>
      <c r="H264">
        <f>IF(E264="","",E264-TODAY())</f>
        <v/>
      </c>
    </row>
    <row r="265">
      <c r="A265" s="2" t="n"/>
      <c r="B265" s="2" t="n"/>
      <c r="C265" s="2" t="n"/>
      <c r="D265" s="2" t="n"/>
      <c r="E265" s="2" t="n"/>
      <c r="F265" s="2" t="n"/>
      <c r="G265">
        <f>IF(F265="","",IF(TODAY()&gt;E265,"Vencido",IF(E265-TODAY()&lt;=5,"Vence em Breve","A Vencer")))</f>
        <v/>
      </c>
      <c r="H265">
        <f>IF(E265="","",E265-TODAY())</f>
        <v/>
      </c>
    </row>
    <row r="266">
      <c r="A266" s="2" t="n"/>
      <c r="B266" s="2" t="n"/>
      <c r="C266" s="2" t="n"/>
      <c r="D266" s="2" t="n"/>
      <c r="E266" s="2" t="n"/>
      <c r="F266" s="2" t="n"/>
      <c r="G266">
        <f>IF(F266="","",IF(TODAY()&gt;E266,"Vencido",IF(E266-TODAY()&lt;=5,"Vence em Breve","A Vencer")))</f>
        <v/>
      </c>
      <c r="H266">
        <f>IF(E266="","",E266-TODAY())</f>
        <v/>
      </c>
    </row>
    <row r="267">
      <c r="A267" s="2" t="n"/>
      <c r="B267" s="2" t="n"/>
      <c r="C267" s="2" t="n"/>
      <c r="D267" s="2" t="n"/>
      <c r="E267" s="2" t="n"/>
      <c r="F267" s="2" t="n"/>
      <c r="G267">
        <f>IF(F267="","",IF(TODAY()&gt;E267,"Vencido",IF(E267-TODAY()&lt;=5,"Vence em Breve","A Vencer")))</f>
        <v/>
      </c>
      <c r="H267">
        <f>IF(E267="","",E267-TODAY())</f>
        <v/>
      </c>
    </row>
    <row r="268">
      <c r="A268" s="2" t="n"/>
      <c r="B268" s="2" t="n"/>
      <c r="C268" s="2" t="n"/>
      <c r="D268" s="2" t="n"/>
      <c r="E268" s="2" t="n"/>
      <c r="F268" s="2" t="n"/>
      <c r="G268">
        <f>IF(F268="","",IF(TODAY()&gt;E268,"Vencido",IF(E268-TODAY()&lt;=5,"Vence em Breve","A Vencer")))</f>
        <v/>
      </c>
      <c r="H268">
        <f>IF(E268="","",E268-TODAY())</f>
        <v/>
      </c>
    </row>
    <row r="269">
      <c r="A269" s="2" t="n"/>
      <c r="B269" s="2" t="n"/>
      <c r="C269" s="2" t="n"/>
      <c r="D269" s="2" t="n"/>
      <c r="E269" s="2" t="n"/>
      <c r="F269" s="2" t="n"/>
      <c r="G269">
        <f>IF(F269="","",IF(TODAY()&gt;E269,"Vencido",IF(E269-TODAY()&lt;=5,"Vence em Breve","A Vencer")))</f>
        <v/>
      </c>
      <c r="H269">
        <f>IF(E269="","",E269-TODAY())</f>
        <v/>
      </c>
    </row>
    <row r="270">
      <c r="A270" s="2" t="n"/>
      <c r="B270" s="2" t="n"/>
      <c r="C270" s="2" t="n"/>
      <c r="D270" s="2" t="n"/>
      <c r="E270" s="2" t="n"/>
      <c r="F270" s="2" t="n"/>
      <c r="G270">
        <f>IF(F270="","",IF(TODAY()&gt;E270,"Vencido",IF(E270-TODAY()&lt;=5,"Vence em Breve","A Vencer")))</f>
        <v/>
      </c>
      <c r="H270">
        <f>IF(E270="","",E270-TODAY())</f>
        <v/>
      </c>
    </row>
    <row r="271">
      <c r="A271" s="2" t="n"/>
      <c r="B271" s="2" t="n"/>
      <c r="C271" s="2" t="n"/>
      <c r="D271" s="2" t="n"/>
      <c r="E271" s="2" t="n"/>
      <c r="F271" s="2" t="n"/>
      <c r="G271">
        <f>IF(F271="","",IF(TODAY()&gt;E271,"Vencido",IF(E271-TODAY()&lt;=5,"Vence em Breve","A Vencer")))</f>
        <v/>
      </c>
      <c r="H271">
        <f>IF(E271="","",E271-TODAY())</f>
        <v/>
      </c>
    </row>
    <row r="272">
      <c r="A272" s="2" t="n"/>
      <c r="B272" s="2" t="n"/>
      <c r="C272" s="2" t="n"/>
      <c r="D272" s="2" t="n"/>
      <c r="E272" s="2" t="n"/>
      <c r="F272" s="2" t="n"/>
      <c r="G272">
        <f>IF(F272="","",IF(TODAY()&gt;E272,"Vencido",IF(E272-TODAY()&lt;=5,"Vence em Breve","A Vencer")))</f>
        <v/>
      </c>
      <c r="H272">
        <f>IF(E272="","",E272-TODAY())</f>
        <v/>
      </c>
    </row>
    <row r="273">
      <c r="A273" s="2" t="n"/>
      <c r="B273" s="2" t="n"/>
      <c r="C273" s="2" t="n"/>
      <c r="D273" s="2" t="n"/>
      <c r="E273" s="2" t="n"/>
      <c r="F273" s="2" t="n"/>
      <c r="G273">
        <f>IF(F273="","",IF(TODAY()&gt;E273,"Vencido",IF(E273-TODAY()&lt;=5,"Vence em Breve","A Vencer")))</f>
        <v/>
      </c>
      <c r="H273">
        <f>IF(E273="","",E273-TODAY())</f>
        <v/>
      </c>
    </row>
    <row r="274">
      <c r="A274" s="2" t="n"/>
      <c r="B274" s="2" t="n"/>
      <c r="C274" s="2" t="n"/>
      <c r="D274" s="2" t="n"/>
      <c r="E274" s="2" t="n"/>
      <c r="F274" s="2" t="n"/>
      <c r="G274">
        <f>IF(F274="","",IF(TODAY()&gt;E274,"Vencido",IF(E274-TODAY()&lt;=5,"Vence em Breve","A Vencer")))</f>
        <v/>
      </c>
      <c r="H274">
        <f>IF(E274="","",E274-TODAY())</f>
        <v/>
      </c>
    </row>
    <row r="275">
      <c r="A275" s="2" t="n"/>
      <c r="B275" s="2" t="n"/>
      <c r="C275" s="2" t="n"/>
      <c r="D275" s="2" t="n"/>
      <c r="E275" s="2" t="n"/>
      <c r="F275" s="2" t="n"/>
      <c r="G275">
        <f>IF(F275="","",IF(TODAY()&gt;E275,"Vencido",IF(E275-TODAY()&lt;=5,"Vence em Breve","A Vencer")))</f>
        <v/>
      </c>
      <c r="H275">
        <f>IF(E275="","",E275-TODAY())</f>
        <v/>
      </c>
    </row>
    <row r="276">
      <c r="A276" s="2" t="n"/>
      <c r="B276" s="2" t="n"/>
      <c r="C276" s="2" t="n"/>
      <c r="D276" s="2" t="n"/>
      <c r="E276" s="2" t="n"/>
      <c r="F276" s="2" t="n"/>
      <c r="G276">
        <f>IF(F276="","",IF(TODAY()&gt;E276,"Vencido",IF(E276-TODAY()&lt;=5,"Vence em Breve","A Vencer")))</f>
        <v/>
      </c>
      <c r="H276">
        <f>IF(E276="","",E276-TODAY())</f>
        <v/>
      </c>
    </row>
    <row r="277">
      <c r="A277" s="2" t="n"/>
      <c r="B277" s="2" t="n"/>
      <c r="C277" s="2" t="n"/>
      <c r="D277" s="2" t="n"/>
      <c r="E277" s="2" t="n"/>
      <c r="F277" s="2" t="n"/>
      <c r="G277">
        <f>IF(F277="","",IF(TODAY()&gt;E277,"Vencido",IF(E277-TODAY()&lt;=5,"Vence em Breve","A Vencer")))</f>
        <v/>
      </c>
      <c r="H277">
        <f>IF(E277="","",E277-TODAY())</f>
        <v/>
      </c>
    </row>
    <row r="278">
      <c r="A278" s="2" t="n"/>
      <c r="B278" s="2" t="n"/>
      <c r="C278" s="2" t="n"/>
      <c r="D278" s="2" t="n"/>
      <c r="E278" s="2" t="n"/>
      <c r="F278" s="2" t="n"/>
      <c r="G278">
        <f>IF(F278="","",IF(TODAY()&gt;E278,"Vencido",IF(E278-TODAY()&lt;=5,"Vence em Breve","A Vencer")))</f>
        <v/>
      </c>
      <c r="H278">
        <f>IF(E278="","",E278-TODAY())</f>
        <v/>
      </c>
    </row>
    <row r="279">
      <c r="A279" s="2" t="n"/>
      <c r="B279" s="2" t="n"/>
      <c r="C279" s="2" t="n"/>
      <c r="D279" s="2" t="n"/>
      <c r="E279" s="2" t="n"/>
      <c r="F279" s="2" t="n"/>
      <c r="G279">
        <f>IF(F279="","",IF(TODAY()&gt;E279,"Vencido",IF(E279-TODAY()&lt;=5,"Vence em Breve","A Vencer")))</f>
        <v/>
      </c>
      <c r="H279">
        <f>IF(E279="","",E279-TODAY())</f>
        <v/>
      </c>
    </row>
    <row r="280">
      <c r="A280" s="2" t="n"/>
      <c r="B280" s="2" t="n"/>
      <c r="C280" s="2" t="n"/>
      <c r="D280" s="2" t="n"/>
      <c r="E280" s="2" t="n"/>
      <c r="F280" s="2" t="n"/>
      <c r="G280">
        <f>IF(F280="","",IF(TODAY()&gt;E280,"Vencido",IF(E280-TODAY()&lt;=5,"Vence em Breve","A Vencer")))</f>
        <v/>
      </c>
      <c r="H280">
        <f>IF(E280="","",E280-TODAY())</f>
        <v/>
      </c>
    </row>
    <row r="281">
      <c r="A281" s="2" t="n"/>
      <c r="B281" s="2" t="n"/>
      <c r="C281" s="2" t="n"/>
      <c r="D281" s="2" t="n"/>
      <c r="E281" s="2" t="n"/>
      <c r="F281" s="2" t="n"/>
      <c r="G281">
        <f>IF(F281="","",IF(TODAY()&gt;E281,"Vencido",IF(E281-TODAY()&lt;=5,"Vence em Breve","A Vencer")))</f>
        <v/>
      </c>
      <c r="H281">
        <f>IF(E281="","",E281-TODAY())</f>
        <v/>
      </c>
    </row>
    <row r="282">
      <c r="A282" s="2" t="n"/>
      <c r="B282" s="2" t="n"/>
      <c r="C282" s="2" t="n"/>
      <c r="D282" s="2" t="n"/>
      <c r="E282" s="2" t="n"/>
      <c r="F282" s="2" t="n"/>
      <c r="G282">
        <f>IF(F282="","",IF(TODAY()&gt;E282,"Vencido",IF(E282-TODAY()&lt;=5,"Vence em Breve","A Vencer")))</f>
        <v/>
      </c>
      <c r="H282">
        <f>IF(E282="","",E282-TODAY())</f>
        <v/>
      </c>
    </row>
    <row r="283">
      <c r="A283" s="2" t="n"/>
      <c r="B283" s="2" t="n"/>
      <c r="C283" s="2" t="n"/>
      <c r="D283" s="2" t="n"/>
      <c r="E283" s="2" t="n"/>
      <c r="F283" s="2" t="n"/>
      <c r="G283">
        <f>IF(F283="","",IF(TODAY()&gt;E283,"Vencido",IF(E283-TODAY()&lt;=5,"Vence em Breve","A Vencer")))</f>
        <v/>
      </c>
      <c r="H283">
        <f>IF(E283="","",E283-TODAY())</f>
        <v/>
      </c>
    </row>
    <row r="284">
      <c r="A284" s="2" t="n"/>
      <c r="B284" s="2" t="n"/>
      <c r="C284" s="2" t="n"/>
      <c r="D284" s="2" t="n"/>
      <c r="E284" s="2" t="n"/>
      <c r="F284" s="2" t="n"/>
      <c r="G284">
        <f>IF(F284="","",IF(TODAY()&gt;E284,"Vencido",IF(E284-TODAY()&lt;=5,"Vence em Breve","A Vencer")))</f>
        <v/>
      </c>
      <c r="H284">
        <f>IF(E284="","",E284-TODAY())</f>
        <v/>
      </c>
    </row>
    <row r="285">
      <c r="A285" s="2" t="n"/>
      <c r="B285" s="2" t="n"/>
      <c r="C285" s="2" t="n"/>
      <c r="D285" s="2" t="n"/>
      <c r="E285" s="2" t="n"/>
      <c r="F285" s="2" t="n"/>
      <c r="G285">
        <f>IF(F285="","",IF(TODAY()&gt;E285,"Vencido",IF(E285-TODAY()&lt;=5,"Vence em Breve","A Vencer")))</f>
        <v/>
      </c>
      <c r="H285">
        <f>IF(E285="","",E285-TODAY())</f>
        <v/>
      </c>
    </row>
    <row r="286">
      <c r="A286" s="2" t="n"/>
      <c r="B286" s="2" t="n"/>
      <c r="C286" s="2" t="n"/>
      <c r="D286" s="2" t="n"/>
      <c r="E286" s="2" t="n"/>
      <c r="F286" s="2" t="n"/>
      <c r="G286">
        <f>IF(F286="","",IF(TODAY()&gt;E286,"Vencido",IF(E286-TODAY()&lt;=5,"Vence em Breve","A Vencer")))</f>
        <v/>
      </c>
      <c r="H286">
        <f>IF(E286="","",E286-TODAY())</f>
        <v/>
      </c>
    </row>
    <row r="287">
      <c r="A287" s="2" t="n"/>
      <c r="B287" s="2" t="n"/>
      <c r="C287" s="2" t="n"/>
      <c r="D287" s="2" t="n"/>
      <c r="E287" s="2" t="n"/>
      <c r="F287" s="2" t="n"/>
      <c r="G287">
        <f>IF(F287="","",IF(TODAY()&gt;E287,"Vencido",IF(E287-TODAY()&lt;=5,"Vence em Breve","A Vencer")))</f>
        <v/>
      </c>
      <c r="H287">
        <f>IF(E287="","",E287-TODAY())</f>
        <v/>
      </c>
    </row>
    <row r="288">
      <c r="A288" s="2" t="n"/>
      <c r="B288" s="2" t="n"/>
      <c r="C288" s="2" t="n"/>
      <c r="D288" s="2" t="n"/>
      <c r="E288" s="2" t="n"/>
      <c r="F288" s="2" t="n"/>
      <c r="G288">
        <f>IF(F288="","",IF(TODAY()&gt;E288,"Vencido",IF(E288-TODAY()&lt;=5,"Vence em Breve","A Vencer")))</f>
        <v/>
      </c>
      <c r="H288">
        <f>IF(E288="","",E288-TODAY())</f>
        <v/>
      </c>
    </row>
    <row r="289">
      <c r="A289" s="2" t="n"/>
      <c r="B289" s="2" t="n"/>
      <c r="C289" s="2" t="n"/>
      <c r="D289" s="2" t="n"/>
      <c r="E289" s="2" t="n"/>
      <c r="F289" s="2" t="n"/>
      <c r="G289">
        <f>IF(F289="","",IF(TODAY()&gt;E289,"Vencido",IF(E289-TODAY()&lt;=5,"Vence em Breve","A Vencer")))</f>
        <v/>
      </c>
      <c r="H289">
        <f>IF(E289="","",E289-TODAY())</f>
        <v/>
      </c>
    </row>
    <row r="290">
      <c r="A290" s="2" t="n"/>
      <c r="B290" s="2" t="n"/>
      <c r="C290" s="2" t="n"/>
      <c r="D290" s="2" t="n"/>
      <c r="E290" s="2" t="n"/>
      <c r="F290" s="2" t="n"/>
      <c r="G290">
        <f>IF(F290="","",IF(TODAY()&gt;E290,"Vencido",IF(E290-TODAY()&lt;=5,"Vence em Breve","A Vencer")))</f>
        <v/>
      </c>
      <c r="H290">
        <f>IF(E290="","",E290-TODAY())</f>
        <v/>
      </c>
    </row>
    <row r="291">
      <c r="A291" s="2" t="n"/>
      <c r="B291" s="2" t="n"/>
      <c r="C291" s="2" t="n"/>
      <c r="D291" s="2" t="n"/>
      <c r="E291" s="2" t="n"/>
      <c r="F291" s="2" t="n"/>
      <c r="G291">
        <f>IF(F291="","",IF(TODAY()&gt;E291,"Vencido",IF(E291-TODAY()&lt;=5,"Vence em Breve","A Vencer")))</f>
        <v/>
      </c>
      <c r="H291">
        <f>IF(E291="","",E291-TODAY())</f>
        <v/>
      </c>
    </row>
    <row r="292">
      <c r="A292" s="2" t="n"/>
      <c r="B292" s="2" t="n"/>
      <c r="C292" s="2" t="n"/>
      <c r="D292" s="2" t="n"/>
      <c r="E292" s="2" t="n"/>
      <c r="F292" s="2" t="n"/>
      <c r="G292">
        <f>IF(F292="","",IF(TODAY()&gt;E292,"Vencido",IF(E292-TODAY()&lt;=5,"Vence em Breve","A Vencer")))</f>
        <v/>
      </c>
      <c r="H292">
        <f>IF(E292="","",E292-TODAY())</f>
        <v/>
      </c>
    </row>
    <row r="293">
      <c r="A293" s="2" t="n"/>
      <c r="B293" s="2" t="n"/>
      <c r="C293" s="2" t="n"/>
      <c r="D293" s="2" t="n"/>
      <c r="E293" s="2" t="n"/>
      <c r="F293" s="2" t="n"/>
      <c r="G293">
        <f>IF(F293="","",IF(TODAY()&gt;E293,"Vencido",IF(E293-TODAY()&lt;=5,"Vence em Breve","A Vencer")))</f>
        <v/>
      </c>
      <c r="H293">
        <f>IF(E293="","",E293-TODAY())</f>
        <v/>
      </c>
    </row>
    <row r="294">
      <c r="A294" s="2" t="n"/>
      <c r="B294" s="2" t="n"/>
      <c r="C294" s="2" t="n"/>
      <c r="D294" s="2" t="n"/>
      <c r="E294" s="2" t="n"/>
      <c r="F294" s="2" t="n"/>
      <c r="G294">
        <f>IF(F294="","",IF(TODAY()&gt;E294,"Vencido",IF(E294-TODAY()&lt;=5,"Vence em Breve","A Vencer")))</f>
        <v/>
      </c>
      <c r="H294">
        <f>IF(E294="","",E294-TODAY())</f>
        <v/>
      </c>
    </row>
    <row r="295">
      <c r="A295" s="2" t="n"/>
      <c r="B295" s="2" t="n"/>
      <c r="C295" s="2" t="n"/>
      <c r="D295" s="2" t="n"/>
      <c r="E295" s="2" t="n"/>
      <c r="F295" s="2" t="n"/>
      <c r="G295">
        <f>IF(F295="","",IF(TODAY()&gt;E295,"Vencido",IF(E295-TODAY()&lt;=5,"Vence em Breve","A Vencer")))</f>
        <v/>
      </c>
      <c r="H295">
        <f>IF(E295="","",E295-TODAY())</f>
        <v/>
      </c>
    </row>
    <row r="296">
      <c r="A296" s="2" t="n"/>
      <c r="B296" s="2" t="n"/>
      <c r="C296" s="2" t="n"/>
      <c r="D296" s="2" t="n"/>
      <c r="E296" s="2" t="n"/>
      <c r="F296" s="2" t="n"/>
      <c r="G296">
        <f>IF(F296="","",IF(TODAY()&gt;E296,"Vencido",IF(E296-TODAY()&lt;=5,"Vence em Breve","A Vencer")))</f>
        <v/>
      </c>
      <c r="H296">
        <f>IF(E296="","",E296-TODAY())</f>
        <v/>
      </c>
    </row>
    <row r="297">
      <c r="A297" s="2" t="n"/>
      <c r="B297" s="2" t="n"/>
      <c r="C297" s="2" t="n"/>
      <c r="D297" s="2" t="n"/>
      <c r="E297" s="2" t="n"/>
      <c r="F297" s="2" t="n"/>
      <c r="G297">
        <f>IF(F297="","",IF(TODAY()&gt;E297,"Vencido",IF(E297-TODAY()&lt;=5,"Vence em Breve","A Vencer")))</f>
        <v/>
      </c>
      <c r="H297">
        <f>IF(E297="","",E297-TODAY())</f>
        <v/>
      </c>
    </row>
    <row r="298">
      <c r="A298" s="2" t="n"/>
      <c r="B298" s="2" t="n"/>
      <c r="C298" s="2" t="n"/>
      <c r="D298" s="2" t="n"/>
      <c r="E298" s="2" t="n"/>
      <c r="F298" s="2" t="n"/>
      <c r="G298">
        <f>IF(F298="","",IF(TODAY()&gt;E298,"Vencido",IF(E298-TODAY()&lt;=5,"Vence em Breve","A Vencer")))</f>
        <v/>
      </c>
      <c r="H298">
        <f>IF(E298="","",E298-TODAY())</f>
        <v/>
      </c>
    </row>
    <row r="299">
      <c r="A299" s="2" t="n"/>
      <c r="B299" s="2" t="n"/>
      <c r="C299" s="2" t="n"/>
      <c r="D299" s="2" t="n"/>
      <c r="E299" s="2" t="n"/>
      <c r="F299" s="2" t="n"/>
      <c r="G299">
        <f>IF(F299="","",IF(TODAY()&gt;E299,"Vencido",IF(E299-TODAY()&lt;=5,"Vence em Breve","A Vencer")))</f>
        <v/>
      </c>
      <c r="H299">
        <f>IF(E299="","",E299-TODAY())</f>
        <v/>
      </c>
    </row>
  </sheetData>
  <conditionalFormatting sqref="G2:G300">
    <cfRule type="expression" priority="1" dxfId="0">
      <formula>G2="Vencido"</formula>
    </cfRule>
    <cfRule type="expression" priority="2" dxfId="1">
      <formula>G2="Vence em Breve"</formula>
    </cfRule>
    <cfRule type="expression" priority="3" dxfId="2">
      <formula>G2="A Vencer"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 Total</t>
        </is>
      </c>
      <c r="B1" s="2" t="n"/>
    </row>
    <row r="2">
      <c r="A2" t="inlineStr">
        <is>
          <t>Nº Parcelas</t>
        </is>
      </c>
      <c r="B2" s="2" t="n"/>
    </row>
    <row r="3">
      <c r="A3" t="inlineStr">
        <is>
          <t>Valor Parcela</t>
        </is>
      </c>
      <c r="B3">
        <f>IF(B2=0,"",B1/B2)</f>
        <v/>
      </c>
    </row>
    <row r="5">
      <c r="A5" t="inlineStr">
        <is>
          <t>Simulação:</t>
        </is>
      </c>
    </row>
    <row r="6">
      <c r="A6" t="inlineStr">
        <is>
          <t>1</t>
        </is>
      </c>
      <c r="B6">
        <f>IF($B$2&gt;=1,$B$3,"")</f>
        <v/>
      </c>
    </row>
    <row r="7">
      <c r="A7" t="inlineStr">
        <is>
          <t>2</t>
        </is>
      </c>
      <c r="B7">
        <f>IF($B$2&gt;=2,$B$3,"")</f>
        <v/>
      </c>
    </row>
    <row r="8">
      <c r="A8" t="inlineStr">
        <is>
          <t>3</t>
        </is>
      </c>
      <c r="B8">
        <f>IF($B$2&gt;=3,$B$3,"")</f>
        <v/>
      </c>
    </row>
    <row r="9">
      <c r="A9" t="inlineStr">
        <is>
          <t>4</t>
        </is>
      </c>
      <c r="B9">
        <f>IF($B$2&gt;=4,$B$3,"")</f>
        <v/>
      </c>
    </row>
    <row r="10">
      <c r="A10" t="inlineStr">
        <is>
          <t>5</t>
        </is>
      </c>
      <c r="B10">
        <f>IF($B$2&gt;=5,$B$3,"")</f>
        <v/>
      </c>
    </row>
    <row r="11">
      <c r="A11" t="inlineStr">
        <is>
          <t>6</t>
        </is>
      </c>
      <c r="B11">
        <f>IF($B$2&gt;=6,$B$3,"")</f>
        <v/>
      </c>
    </row>
    <row r="12">
      <c r="A12" t="inlineStr">
        <is>
          <t>7</t>
        </is>
      </c>
      <c r="B12">
        <f>IF($B$2&gt;=7,$B$3,"")</f>
        <v/>
      </c>
    </row>
    <row r="13">
      <c r="A13" t="inlineStr">
        <is>
          <t>8</t>
        </is>
      </c>
      <c r="B13">
        <f>IF($B$2&gt;=8,$B$3,"")</f>
        <v/>
      </c>
    </row>
    <row r="14">
      <c r="A14" t="inlineStr">
        <is>
          <t>9</t>
        </is>
      </c>
      <c r="B14">
        <f>IF($B$2&gt;=9,$B$3,"")</f>
        <v/>
      </c>
    </row>
    <row r="15">
      <c r="A15" t="inlineStr">
        <is>
          <t>10</t>
        </is>
      </c>
      <c r="B15">
        <f>IF($B$2&gt;=10,$B$3,"")</f>
        <v/>
      </c>
    </row>
    <row r="16">
      <c r="A16" t="inlineStr">
        <is>
          <t>11</t>
        </is>
      </c>
      <c r="B16">
        <f>IF($B$2&gt;=11,$B$3,"")</f>
        <v/>
      </c>
    </row>
    <row r="17">
      <c r="A17" t="inlineStr">
        <is>
          <t>12</t>
        </is>
      </c>
      <c r="B17">
        <f>IF($B$2&gt;=12,$B$3,"")</f>
        <v/>
      </c>
    </row>
    <row r="18">
      <c r="A18" t="inlineStr">
        <is>
          <t>13</t>
        </is>
      </c>
      <c r="B18">
        <f>IF($B$2&gt;=13,$B$3,"")</f>
        <v/>
      </c>
    </row>
    <row r="19">
      <c r="A19" t="inlineStr">
        <is>
          <t>14</t>
        </is>
      </c>
      <c r="B19">
        <f>IF($B$2&gt;=14,$B$3,"")</f>
        <v/>
      </c>
    </row>
    <row r="20">
      <c r="A20" t="inlineStr">
        <is>
          <t>15</t>
        </is>
      </c>
      <c r="B20">
        <f>IF($B$2&gt;=15,$B$3,"")</f>
        <v/>
      </c>
    </row>
    <row r="21">
      <c r="A21" t="inlineStr">
        <is>
          <t>16</t>
        </is>
      </c>
      <c r="B21">
        <f>IF($B$2&gt;=16,$B$3,"")</f>
        <v/>
      </c>
    </row>
    <row r="22">
      <c r="A22" t="inlineStr">
        <is>
          <t>17</t>
        </is>
      </c>
      <c r="B22">
        <f>IF($B$2&gt;=17,$B$3,"")</f>
        <v/>
      </c>
    </row>
    <row r="23">
      <c r="A23" t="inlineStr">
        <is>
          <t>18</t>
        </is>
      </c>
      <c r="B23">
        <f>IF($B$2&gt;=18,$B$3,"")</f>
        <v/>
      </c>
    </row>
    <row r="24">
      <c r="A24" t="inlineStr">
        <is>
          <t>19</t>
        </is>
      </c>
      <c r="B24">
        <f>IF($B$2&gt;=19,$B$3,"")</f>
        <v/>
      </c>
    </row>
    <row r="25">
      <c r="A25" t="inlineStr">
        <is>
          <t>20</t>
        </is>
      </c>
      <c r="B25">
        <f>IF($B$2&gt;=20,$B$3,"")</f>
        <v/>
      </c>
    </row>
    <row r="26">
      <c r="A26" t="inlineStr">
        <is>
          <t>21</t>
        </is>
      </c>
      <c r="B26">
        <f>IF($B$2&gt;=21,$B$3,"")</f>
        <v/>
      </c>
    </row>
    <row r="27">
      <c r="A27" t="inlineStr">
        <is>
          <t>22</t>
        </is>
      </c>
      <c r="B27">
        <f>IF($B$2&gt;=22,$B$3,"")</f>
        <v/>
      </c>
    </row>
    <row r="28">
      <c r="A28" t="inlineStr">
        <is>
          <t>23</t>
        </is>
      </c>
      <c r="B28">
        <f>IF($B$2&gt;=23,$B$3,"")</f>
        <v/>
      </c>
    </row>
    <row r="29">
      <c r="A29" t="inlineStr">
        <is>
          <t>24</t>
        </is>
      </c>
      <c r="B29">
        <f>IF($B$2&gt;=24,$B$3,"")</f>
        <v/>
      </c>
    </row>
    <row r="30">
      <c r="A30" t="inlineStr">
        <is>
          <t>25</t>
        </is>
      </c>
      <c r="B30">
        <f>IF($B$2&gt;=25,$B$3,"")</f>
        <v/>
      </c>
    </row>
    <row r="31">
      <c r="A31" t="inlineStr">
        <is>
          <t>26</t>
        </is>
      </c>
      <c r="B31">
        <f>IF($B$2&gt;=26,$B$3,"")</f>
        <v/>
      </c>
    </row>
    <row r="32">
      <c r="A32" t="inlineStr">
        <is>
          <t>27</t>
        </is>
      </c>
      <c r="B32">
        <f>IF($B$2&gt;=27,$B$3,"")</f>
        <v/>
      </c>
    </row>
    <row r="33">
      <c r="A33" t="inlineStr">
        <is>
          <t>28</t>
        </is>
      </c>
      <c r="B33">
        <f>IF($B$2&gt;=28,$B$3,"")</f>
        <v/>
      </c>
    </row>
    <row r="34">
      <c r="A34" t="inlineStr">
        <is>
          <t>29</t>
        </is>
      </c>
      <c r="B34">
        <f>IF($B$2&gt;=29,$B$3,"")</f>
        <v/>
      </c>
    </row>
    <row r="35">
      <c r="A35" t="inlineStr">
        <is>
          <t>30</t>
        </is>
      </c>
      <c r="B35">
        <f>IF($B$2&gt;=30,$B$3,"")</f>
        <v/>
      </c>
    </row>
    <row r="36">
      <c r="A36" t="inlineStr">
        <is>
          <t>31</t>
        </is>
      </c>
      <c r="B36">
        <f>IF($B$2&gt;=31,$B$3,"")</f>
        <v/>
      </c>
    </row>
    <row r="37">
      <c r="A37" t="inlineStr">
        <is>
          <t>32</t>
        </is>
      </c>
      <c r="B37">
        <f>IF($B$2&gt;=32,$B$3,"")</f>
        <v/>
      </c>
    </row>
    <row r="38">
      <c r="A38" t="inlineStr">
        <is>
          <t>33</t>
        </is>
      </c>
      <c r="B38">
        <f>IF($B$2&gt;=33,$B$3,"")</f>
        <v/>
      </c>
    </row>
    <row r="39">
      <c r="A39" t="inlineStr">
        <is>
          <t>34</t>
        </is>
      </c>
      <c r="B39">
        <f>IF($B$2&gt;=34,$B$3,"")</f>
        <v/>
      </c>
    </row>
    <row r="40">
      <c r="A40" t="inlineStr">
        <is>
          <t>35</t>
        </is>
      </c>
      <c r="B40">
        <f>IF($B$2&gt;=35,$B$3,"")</f>
        <v/>
      </c>
    </row>
    <row r="41">
      <c r="A41" t="inlineStr">
        <is>
          <t>36</t>
        </is>
      </c>
      <c r="B41">
        <f>IF($B$2&gt;=36,$B$3,"")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2026-05-01T06:29:40Z</dcterms:created>
  <dcterms:modified xmlns:dcterms="http://purl.org/dc/terms/" xmlns:xsi="http://www.w3.org/2001/XMLSchema-instance" xsi:type="dcterms:W3CDTF">2026-05-01T06:29:40Z</dcterms:modified>
</cp:coreProperties>
</file>